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xw追梦者\Downloads\"/>
    </mc:Choice>
  </mc:AlternateContent>
  <bookViews>
    <workbookView windowWidth="20750" windowHeight="10030"/>
  </bookViews>
  <sheets>
    <sheet name="ABC三方案预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<sst xmlns="http://schemas.openxmlformats.org/spreadsheetml/2006/main" count="102" uniqueCount="73">
  <si>
    <t>洪涝灾害 A/B/C 三受灾等级预算计算表</t>
  </si>
  <si>
    <t>一、三方案基础参数与预算输入</t>
  </si>
  <si>
    <t>方案</t>
  </si>
  <si>
    <t>内部响应等级</t>
  </si>
  <si>
    <t>保障定位</t>
  </si>
  <si>
    <t>安置期（天）</t>
  </si>
  <si>
    <t>覆盖人数（人）</t>
  </si>
  <si>
    <t>基础执行预算（元）</t>
  </si>
  <si>
    <t>预备费（元）</t>
  </si>
  <si>
    <t>总预算（元）</t>
  </si>
  <si>
    <t>预备费占比</t>
  </si>
  <si>
    <t>预算编制口径</t>
  </si>
  <si>
    <t>A方案</t>
  </si>
  <si>
    <t>IV级轻度</t>
  </si>
  <si>
    <t>最低生命保障方案</t>
  </si>
  <si>
    <t>主要保障饮用水、食品、急救物资、紧急转移、救援人员基本保险</t>
  </si>
  <si>
    <t>B方案</t>
  </si>
  <si>
    <t>III级中度</t>
  </si>
  <si>
    <t>标准救援保障方案</t>
  </si>
  <si>
    <t>在A基础上增加临时安置、帐篷棉被、设备租赁、多轮物资配送、备用运输能力</t>
  </si>
  <si>
    <t>C方案</t>
  </si>
  <si>
    <t>II级及以上重度</t>
  </si>
  <si>
    <t>持续灾情保障方案</t>
  </si>
  <si>
    <r>
      <t>净需求量</t>
    </r>
    <r>
      <rPr>
        <sz val="11"/>
        <color rgb="FF0000FF"/>
        <rFont val="Carlito"/>
        <charset val="134"/>
      </rPr>
      <t>×</t>
    </r>
    <r>
      <rPr>
        <sz val="11"/>
        <color rgb="FF0000FF"/>
        <rFont val="宋体"/>
        <charset val="134"/>
      </rPr>
      <t>历史预算标准价</t>
    </r>
  </si>
  <si>
    <t>二、预算测算与关键指标</t>
  </si>
  <si>
    <t>单位受益成本（元/人）</t>
  </si>
  <si>
    <t>较A方案增加（元）</t>
  </si>
  <si>
    <t>较上一级增加（元）</t>
  </si>
  <si>
    <t>预算增幅</t>
  </si>
  <si>
    <t>备注</t>
  </si>
  <si>
    <t>基准方案</t>
  </si>
  <si>
    <t>标准救援保障</t>
  </si>
  <si>
    <t>持续灾情保障</t>
  </si>
  <si>
    <t>三、三方案保障内容对比</t>
  </si>
  <si>
    <t>四、预备费与基础执行预算分析</t>
  </si>
  <si>
    <t>保障项目</t>
  </si>
  <si>
    <t>说明</t>
  </si>
  <si>
    <t>饮用水/食品</t>
  </si>
  <si>
    <t>✓</t>
  </si>
  <si>
    <t>未单列预备费</t>
  </si>
  <si>
    <t>急救物资</t>
  </si>
  <si>
    <t>预备费已包含在预算上限内</t>
  </si>
  <si>
    <t>紧急转移</t>
  </si>
  <si>
    <t>预备费37.6万元，包含在总预算内</t>
  </si>
  <si>
    <t>救援人员基本保险</t>
  </si>
  <si>
    <t>合计/提示</t>
  </si>
  <si>
    <t>预备费是预算组成部分，不是总预算之外再加一遍</t>
  </si>
  <si>
    <t>临时安置/帐篷棉被</t>
  </si>
  <si>
    <t>基础生命保障</t>
  </si>
  <si>
    <t>增加</t>
  </si>
  <si>
    <t>持续强化</t>
  </si>
  <si>
    <t>设备租赁/连续运行</t>
  </si>
  <si>
    <t>基础保障</t>
  </si>
  <si>
    <t>增加设备租赁</t>
  </si>
  <si>
    <t>增加连续运行</t>
  </si>
  <si>
    <t>运输能力</t>
  </si>
  <si>
    <t>多轮配送+备用运输</t>
  </si>
  <si>
    <t>增加道路绕行成本</t>
  </si>
  <si>
    <t>特殊人群保障</t>
  </si>
  <si>
    <t>基础</t>
  </si>
  <si>
    <t>标准保障</t>
  </si>
  <si>
    <t>重点增加</t>
  </si>
  <si>
    <t>五、预算增量来源（方案层级）</t>
  </si>
  <si>
    <t>六、方案汇总</t>
  </si>
  <si>
    <t>预算阶段</t>
  </si>
  <si>
    <t>增量金额（元）</t>
  </si>
  <si>
    <t>累计预算（元）</t>
  </si>
  <si>
    <r>
      <t>A</t>
    </r>
    <r>
      <rPr>
        <sz val="11"/>
        <color rgb="FF000000"/>
        <rFont val="宋体"/>
        <charset val="134"/>
      </rPr>
      <t>方案基准预算</t>
    </r>
  </si>
  <si>
    <t>最低生命保障</t>
  </si>
  <si>
    <t>A→B增量</t>
  </si>
  <si>
    <t>标准保障能力提升</t>
  </si>
  <si>
    <t>B→C增量</t>
  </si>
  <si>
    <t>安置期延长、道路绕行、设备连续运行、特殊人群等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</si>
</sst>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[Red]\(#,##0\);\-"/>
    <numFmt numFmtId="177" formatCode="#,##0.00;[Red]\(#,##0.00\);\-"/>
  </numFmts>
  <fonts count="29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17365D"/>
      <name val="Carlito"/>
      <charset val="134"/>
    </font>
    <font>
      <sz val="11"/>
      <color rgb="FF0000FF"/>
      <name val="Carlito"/>
      <charset val="134"/>
    </font>
    <font>
      <sz val="11"/>
      <color rgb="FF000000"/>
      <name val="Carlito"/>
      <charset val="134"/>
    </font>
    <font>
      <sz val="11"/>
      <color rgb="FF0000FF"/>
      <name val="宋体"/>
      <charset val="134"/>
    </font>
    <font>
      <sz val="11"/>
      <color rgb="FF000000"/>
      <name val="宋体"/>
      <charset val="134"/>
    </font>
    <font>
      <b/>
      <sz val="11"/>
      <color rgb="FF2E6B2E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23A5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horizontal="left"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176" fontId="4" fillId="0" borderId="1" xfId="49" applyNumberFormat="1" applyFont="1" applyFill="1" applyBorder="1" applyAlignment="1">
      <alignment horizontal="center" vertical="center" wrapText="1"/>
    </xf>
    <xf numFmtId="177" fontId="4" fillId="0" borderId="1" xfId="49" applyNumberFormat="1" applyFont="1" applyFill="1" applyBorder="1" applyAlignment="1">
      <alignment horizontal="center" vertical="center" wrapText="1"/>
    </xf>
    <xf numFmtId="177" fontId="5" fillId="5" borderId="1" xfId="49" applyNumberFormat="1" applyFont="1" applyFill="1" applyBorder="1" applyAlignment="1">
      <alignment horizontal="center" vertical="center" wrapText="1"/>
    </xf>
    <xf numFmtId="10" fontId="5" fillId="5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horizontal="center" vertical="center" wrapText="1"/>
    </xf>
    <xf numFmtId="177" fontId="5" fillId="0" borderId="1" xfId="49" applyNumberFormat="1" applyFont="1" applyFill="1" applyBorder="1" applyAlignment="1">
      <alignment horizontal="center" vertical="center" wrapText="1"/>
    </xf>
    <xf numFmtId="176" fontId="5" fillId="0" borderId="1" xfId="49" applyNumberFormat="1" applyFont="1" applyFill="1" applyBorder="1" applyAlignment="1">
      <alignment horizontal="center" vertical="center" wrapText="1"/>
    </xf>
    <xf numFmtId="10" fontId="5" fillId="0" borderId="1" xfId="49" applyNumberFormat="1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>
      <alignment horizontal="center" vertical="center" wrapText="1"/>
    </xf>
    <xf numFmtId="0" fontId="8" fillId="6" borderId="1" xfId="49" applyNumberFormat="1" applyFont="1" applyFill="1" applyBorder="1" applyAlignment="1">
      <alignment horizontal="center" vertical="center" wrapText="1"/>
    </xf>
    <xf numFmtId="177" fontId="8" fillId="6" borderId="1" xfId="49" applyNumberFormat="1" applyFont="1" applyFill="1" applyBorder="1" applyAlignment="1">
      <alignment horizontal="center" vertical="center" wrapText="1"/>
    </xf>
    <xf numFmtId="10" fontId="8" fillId="6" borderId="1" xfId="49" applyNumberFormat="1" applyFont="1" applyFill="1" applyBorder="1" applyAlignment="1">
      <alignment horizontal="center" vertical="center" wrapText="1"/>
    </xf>
    <xf numFmtId="10" fontId="0" fillId="0" borderId="0" xfId="3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A/B/C方案总预算对比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"总预算（元）"</c:f>
              <c:strCache>
                <c:ptCount val="1"/>
                <c:pt idx="0">
                  <c:v>总预算（元）</c:v>
                </c:pt>
              </c:strCache>
            </c:strRef>
          </c:tx>
          <c:invertIfNegative val="0"/>
          <c:dLbls>
            <c:delete val="1"/>
          </c:dLbls>
          <c:cat>
            <c:strRef>
              <c:f>ABC三方案预算!$A$11:$A$13</c:f>
              <c:strCache>
                <c:ptCount val="3"/>
                <c:pt idx="0">
                  <c:v>A方案</c:v>
                </c:pt>
                <c:pt idx="1">
                  <c:v>B方案</c:v>
                </c:pt>
                <c:pt idx="2">
                  <c:v>C方案</c:v>
                </c:pt>
              </c:strCache>
            </c:strRef>
          </c:cat>
          <c:val>
            <c:numRef>
              <c:f>ABC三方案预算!$B$11:$B$13</c:f>
              <c:numCache>
                <c:formatCode>#,##0.00;[Red]\(#,##0.00\);\-</c:formatCode>
                <c:ptCount val="3"/>
                <c:pt idx="0">
                  <c:v>2816906</c:v>
                </c:pt>
                <c:pt idx="1">
                  <c:v>2909004</c:v>
                </c:pt>
                <c:pt idx="2">
                  <c:v>4278517.5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#,##0.00;[Red]\(#,##0.00\);\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55a2f5b-a637-43d5-9583-f9863460f162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单位受益成本对比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"总预算（元）"</c:f>
              <c:strCache>
                <c:ptCount val="1"/>
                <c:pt idx="0">
                  <c:v>总预算（元）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ABC三方案预算!$A$11:$A$13</c:f>
              <c:strCache>
                <c:ptCount val="3"/>
                <c:pt idx="0">
                  <c:v>A方案</c:v>
                </c:pt>
                <c:pt idx="1">
                  <c:v>B方案</c:v>
                </c:pt>
                <c:pt idx="2">
                  <c:v>C方案</c:v>
                </c:pt>
              </c:strCache>
            </c:strRef>
          </c:cat>
          <c:val>
            <c:numRef>
              <c:f>ABC三方案预算!$B$11:$B$13</c:f>
              <c:numCache>
                <c:formatCode>#,##0.00;[Red]\(#,##0.00\);\-</c:formatCode>
                <c:ptCount val="3"/>
                <c:pt idx="0">
                  <c:v>2816906</c:v>
                </c:pt>
                <c:pt idx="1">
                  <c:v>2909004</c:v>
                </c:pt>
                <c:pt idx="2">
                  <c:v>4278517.5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"覆盖人数（人）"</c:f>
              <c:strCache>
                <c:ptCount val="1"/>
                <c:pt idx="0">
                  <c:v>覆盖人数（人）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ABC三方案预算!$A$11:$A$13</c:f>
              <c:strCache>
                <c:ptCount val="3"/>
                <c:pt idx="0">
                  <c:v>A方案</c:v>
                </c:pt>
                <c:pt idx="1">
                  <c:v>B方案</c:v>
                </c:pt>
                <c:pt idx="2">
                  <c:v>C方案</c:v>
                </c:pt>
              </c:strCache>
            </c:strRef>
          </c:cat>
          <c:val>
            <c:numRef>
              <c:f>ABC三方案预算!$C$11:$C$13</c:f>
              <c:numCache>
                <c:formatCode>#,##0;[Red]\(#,##0\);\-</c:formatCode>
                <c:ptCount val="3"/>
                <c:pt idx="0">
                  <c:v>7000</c:v>
                </c:pt>
                <c:pt idx="1">
                  <c:v>7000</c:v>
                </c:pt>
                <c:pt idx="2">
                  <c:v>8100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"单位受益成本（元/人）"</c:f>
              <c:strCache>
                <c:ptCount val="1"/>
                <c:pt idx="0">
                  <c:v>单位受益成本（元/人）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ABC三方案预算!$A$11:$A$13</c:f>
              <c:strCache>
                <c:ptCount val="3"/>
                <c:pt idx="0">
                  <c:v>A方案</c:v>
                </c:pt>
                <c:pt idx="1">
                  <c:v>B方案</c:v>
                </c:pt>
                <c:pt idx="2">
                  <c:v>C方案</c:v>
                </c:pt>
              </c:strCache>
            </c:strRef>
          </c:cat>
          <c:val>
            <c:numRef>
              <c:f>ABC三方案预算!$D$11:$D$13</c:f>
              <c:numCache>
                <c:formatCode>#,##0.00;[Red]\(#,##0.00\);\-</c:formatCode>
                <c:ptCount val="3"/>
                <c:pt idx="0">
                  <c:v>402.415142857143</c:v>
                </c:pt>
                <c:pt idx="1">
                  <c:v>415.572</c:v>
                </c:pt>
                <c:pt idx="2">
                  <c:v>528.212037037037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#,##0.00;[Red]\(#,##0.00\);\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cd81b5-1130-4860-bdbe-02df097de20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31</xdr:row>
      <xdr:rowOff>229870</xdr:rowOff>
    </xdr:from>
    <xdr:to>
      <xdr:col>6</xdr:col>
      <xdr:colOff>0</xdr:colOff>
      <xdr:row>40</xdr:row>
      <xdr:rowOff>64770</xdr:rowOff>
    </xdr:to>
    <xdr:graphicFrame>
      <xdr:nvGraphicFramePr>
        <xdr:cNvPr id="2" name="Chart"/>
        <xdr:cNvGraphicFramePr/>
      </xdr:nvGraphicFramePr>
      <xdr:xfrm>
        <a:off x="635" y="11329670"/>
        <a:ext cx="8381365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12065</xdr:colOff>
      <xdr:row>31</xdr:row>
      <xdr:rowOff>227965</xdr:rowOff>
    </xdr:from>
    <xdr:to>
      <xdr:col>10</xdr:col>
      <xdr:colOff>12065</xdr:colOff>
      <xdr:row>40</xdr:row>
      <xdr:rowOff>62865</xdr:rowOff>
    </xdr:to>
    <xdr:graphicFrame>
      <xdr:nvGraphicFramePr>
        <xdr:cNvPr id="3" name="Chart"/>
        <xdr:cNvGraphicFramePr/>
      </xdr:nvGraphicFramePr>
      <xdr:xfrm>
        <a:off x="8394065" y="11327765"/>
        <a:ext cx="6553200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zoomScale="85" zoomScaleNormal="85" workbookViewId="0">
      <selection activeCell="F31" sqref="F31"/>
    </sheetView>
  </sheetViews>
  <sheetFormatPr defaultColWidth="9" defaultRowHeight="14"/>
  <cols>
    <col min="1" max="1" width="22" customWidth="1"/>
    <col min="2" max="4" width="18" customWidth="1"/>
    <col min="5" max="5" width="16" customWidth="1"/>
    <col min="6" max="8" width="18" customWidth="1"/>
    <col min="9" max="9" width="16" customWidth="1"/>
    <col min="10" max="10" width="34" customWidth="1"/>
  </cols>
  <sheetData>
    <row r="1" ht="34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24" customHeight="1" spans="1:10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ht="26" customHeight="1" spans="1:1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ht="40" customHeight="1" spans="1:10">
      <c r="A5" s="5" t="s">
        <v>12</v>
      </c>
      <c r="B5" s="5" t="s">
        <v>13</v>
      </c>
      <c r="C5" s="5" t="s">
        <v>14</v>
      </c>
      <c r="D5" s="6">
        <v>3</v>
      </c>
      <c r="E5" s="6">
        <v>7000</v>
      </c>
      <c r="F5" s="7">
        <v>2816906</v>
      </c>
      <c r="G5" s="7">
        <v>0</v>
      </c>
      <c r="H5" s="8">
        <f>F5+G5</f>
        <v>2816906</v>
      </c>
      <c r="I5" s="9">
        <f>G5/H5</f>
        <v>0</v>
      </c>
      <c r="J5" s="5" t="s">
        <v>15</v>
      </c>
    </row>
    <row r="6" ht="40" customHeight="1" spans="1:10">
      <c r="A6" s="5" t="s">
        <v>16</v>
      </c>
      <c r="B6" s="5" t="s">
        <v>17</v>
      </c>
      <c r="C6" s="5" t="s">
        <v>18</v>
      </c>
      <c r="D6" s="6">
        <v>3</v>
      </c>
      <c r="E6" s="6">
        <v>7000</v>
      </c>
      <c r="F6" s="7">
        <v>2618103.6</v>
      </c>
      <c r="G6" s="7">
        <v>290900.4</v>
      </c>
      <c r="H6" s="8">
        <f>F6+G6</f>
        <v>2909004</v>
      </c>
      <c r="I6" s="9">
        <f>G6/H6</f>
        <v>0.1</v>
      </c>
      <c r="J6" s="5" t="s">
        <v>19</v>
      </c>
    </row>
    <row r="7" ht="40" customHeight="1" spans="1:10">
      <c r="A7" s="5" t="s">
        <v>20</v>
      </c>
      <c r="B7" s="5" t="s">
        <v>21</v>
      </c>
      <c r="C7" s="5" t="s">
        <v>22</v>
      </c>
      <c r="D7" s="6">
        <v>5</v>
      </c>
      <c r="E7" s="6">
        <v>8100</v>
      </c>
      <c r="F7" s="7">
        <v>3902517.5</v>
      </c>
      <c r="G7" s="7">
        <v>376000</v>
      </c>
      <c r="H7" s="8">
        <f>F7+G7</f>
        <v>4278517.5</v>
      </c>
      <c r="I7" s="9">
        <f>G7/H7</f>
        <v>0.0878809073469958</v>
      </c>
      <c r="J7" s="10" t="s">
        <v>23</v>
      </c>
    </row>
    <row r="8" ht="26" customHeight="1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ht="26" customHeight="1" spans="1:10">
      <c r="A9" s="3" t="s">
        <v>24</v>
      </c>
      <c r="B9" s="3"/>
      <c r="C9" s="3"/>
      <c r="D9" s="3"/>
      <c r="E9" s="3"/>
      <c r="F9" s="3"/>
      <c r="G9" s="3"/>
      <c r="H9" s="3"/>
      <c r="I9" s="2"/>
      <c r="J9" s="2"/>
    </row>
    <row r="10" ht="26" customHeight="1" spans="1:10">
      <c r="A10" s="4" t="s">
        <v>2</v>
      </c>
      <c r="B10" s="4" t="s">
        <v>9</v>
      </c>
      <c r="C10" s="4" t="s">
        <v>6</v>
      </c>
      <c r="D10" s="4" t="s">
        <v>25</v>
      </c>
      <c r="E10" s="4" t="s">
        <v>26</v>
      </c>
      <c r="F10" s="4" t="s">
        <v>27</v>
      </c>
      <c r="G10" s="4" t="s">
        <v>28</v>
      </c>
      <c r="H10" s="4" t="s">
        <v>29</v>
      </c>
      <c r="I10" s="2"/>
      <c r="J10" s="2"/>
    </row>
    <row r="11" ht="26" customHeight="1" spans="1:10">
      <c r="A11" s="11" t="s">
        <v>12</v>
      </c>
      <c r="B11" s="12">
        <f>H5</f>
        <v>2816906</v>
      </c>
      <c r="C11" s="13">
        <f>E5</f>
        <v>7000</v>
      </c>
      <c r="D11" s="8">
        <f>B11/C11</f>
        <v>402.415142857143</v>
      </c>
      <c r="E11" s="8">
        <f>B11-B11</f>
        <v>0</v>
      </c>
      <c r="F11" s="8">
        <f>0</f>
        <v>0</v>
      </c>
      <c r="G11" s="9">
        <f>0</f>
        <v>0</v>
      </c>
      <c r="H11" s="11" t="s">
        <v>30</v>
      </c>
      <c r="I11" s="2"/>
      <c r="J11" s="2"/>
    </row>
    <row r="12" ht="26" customHeight="1" spans="1:10">
      <c r="A12" s="11" t="s">
        <v>16</v>
      </c>
      <c r="B12" s="12">
        <f>H6</f>
        <v>2909004</v>
      </c>
      <c r="C12" s="13">
        <f>E6</f>
        <v>7000</v>
      </c>
      <c r="D12" s="8">
        <f>B12/C12</f>
        <v>415.572</v>
      </c>
      <c r="E12" s="8">
        <f>B12-B11</f>
        <v>92098</v>
      </c>
      <c r="F12" s="8">
        <f>B12-B11</f>
        <v>92098</v>
      </c>
      <c r="G12" s="9">
        <f>F12/B11</f>
        <v>0.0326947367075792</v>
      </c>
      <c r="H12" s="11" t="s">
        <v>31</v>
      </c>
      <c r="I12" s="2"/>
      <c r="J12" s="2"/>
    </row>
    <row r="13" ht="26" customHeight="1" spans="1:10">
      <c r="A13" s="11" t="s">
        <v>20</v>
      </c>
      <c r="B13" s="12">
        <f>H7</f>
        <v>4278517.5</v>
      </c>
      <c r="C13" s="13">
        <f>E7</f>
        <v>8100</v>
      </c>
      <c r="D13" s="8">
        <f>B13/C13</f>
        <v>528.212037037037</v>
      </c>
      <c r="E13" s="8">
        <f>B13-B11</f>
        <v>1461611.5</v>
      </c>
      <c r="F13" s="8">
        <f>B13-B12</f>
        <v>1369513.5</v>
      </c>
      <c r="G13" s="9">
        <f>F13/B12</f>
        <v>0.470784330306868</v>
      </c>
      <c r="H13" s="11" t="s">
        <v>32</v>
      </c>
      <c r="I13" s="2"/>
      <c r="J13" s="2"/>
    </row>
    <row r="14" ht="26" customHeight="1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6" customHeight="1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26" customHeight="1" spans="1:10">
      <c r="A16" s="3" t="s">
        <v>33</v>
      </c>
      <c r="B16" s="3"/>
      <c r="C16" s="3"/>
      <c r="D16" s="3"/>
      <c r="E16" s="3"/>
      <c r="F16" s="3" t="s">
        <v>34</v>
      </c>
      <c r="G16" s="3"/>
      <c r="H16" s="3"/>
      <c r="I16" s="3"/>
      <c r="J16" s="3"/>
    </row>
    <row r="17" ht="26" customHeight="1" spans="1:10">
      <c r="A17" s="4" t="s">
        <v>35</v>
      </c>
      <c r="B17" s="4" t="s">
        <v>12</v>
      </c>
      <c r="C17" s="4" t="s">
        <v>16</v>
      </c>
      <c r="D17" s="4" t="s">
        <v>20</v>
      </c>
      <c r="E17" s="2"/>
      <c r="F17" s="4" t="s">
        <v>2</v>
      </c>
      <c r="G17" s="4" t="s">
        <v>7</v>
      </c>
      <c r="H17" s="4" t="s">
        <v>8</v>
      </c>
      <c r="I17" s="4" t="s">
        <v>10</v>
      </c>
      <c r="J17" s="4" t="s">
        <v>36</v>
      </c>
    </row>
    <row r="18" ht="26" customHeight="1" spans="1:10">
      <c r="A18" s="11" t="s">
        <v>37</v>
      </c>
      <c r="B18" s="11" t="s">
        <v>38</v>
      </c>
      <c r="C18" s="11" t="s">
        <v>38</v>
      </c>
      <c r="D18" s="11" t="s">
        <v>38</v>
      </c>
      <c r="E18" s="2"/>
      <c r="F18" s="11" t="s">
        <v>12</v>
      </c>
      <c r="G18" s="12">
        <f>F5</f>
        <v>2816906</v>
      </c>
      <c r="H18" s="12">
        <f>G5</f>
        <v>0</v>
      </c>
      <c r="I18" s="14">
        <f>I5</f>
        <v>0</v>
      </c>
      <c r="J18" s="15" t="s">
        <v>39</v>
      </c>
    </row>
    <row r="19" ht="26" customHeight="1" spans="1:10">
      <c r="A19" s="11" t="s">
        <v>40</v>
      </c>
      <c r="B19" s="11" t="s">
        <v>38</v>
      </c>
      <c r="C19" s="11" t="s">
        <v>38</v>
      </c>
      <c r="D19" s="11" t="s">
        <v>38</v>
      </c>
      <c r="E19" s="2"/>
      <c r="F19" s="11" t="s">
        <v>16</v>
      </c>
      <c r="G19" s="12">
        <f>F6</f>
        <v>2618103.6</v>
      </c>
      <c r="H19" s="12">
        <f>G6</f>
        <v>290900.4</v>
      </c>
      <c r="I19" s="14">
        <f>I6</f>
        <v>0.1</v>
      </c>
      <c r="J19" s="15" t="s">
        <v>41</v>
      </c>
    </row>
    <row r="20" ht="26" customHeight="1" spans="1:10">
      <c r="A20" s="11" t="s">
        <v>42</v>
      </c>
      <c r="B20" s="11" t="s">
        <v>38</v>
      </c>
      <c r="C20" s="11" t="s">
        <v>38</v>
      </c>
      <c r="D20" s="11" t="s">
        <v>38</v>
      </c>
      <c r="E20" s="2"/>
      <c r="F20" s="11" t="s">
        <v>20</v>
      </c>
      <c r="G20" s="12">
        <f>F7</f>
        <v>3902517.5</v>
      </c>
      <c r="H20" s="12">
        <f>G7</f>
        <v>376000</v>
      </c>
      <c r="I20" s="14">
        <f>I7</f>
        <v>0.0878809073469958</v>
      </c>
      <c r="J20" s="11" t="s">
        <v>43</v>
      </c>
    </row>
    <row r="21" ht="32" customHeight="1" spans="1:10">
      <c r="A21" s="11" t="s">
        <v>44</v>
      </c>
      <c r="B21" s="11" t="s">
        <v>38</v>
      </c>
      <c r="C21" s="11" t="s">
        <v>38</v>
      </c>
      <c r="D21" s="11" t="s">
        <v>38</v>
      </c>
      <c r="E21" s="2"/>
      <c r="F21" s="16" t="s">
        <v>45</v>
      </c>
      <c r="G21" s="17">
        <f>SUM(G18:G20)</f>
        <v>9337527.1</v>
      </c>
      <c r="H21" s="17">
        <f>SUM(H18:H20)</f>
        <v>666900.4</v>
      </c>
      <c r="I21" s="18">
        <f>H21/(G21+H21)</f>
        <v>0.0666605260520904</v>
      </c>
      <c r="J21" s="16" t="s">
        <v>46</v>
      </c>
    </row>
    <row r="22" ht="26" customHeight="1" spans="1:10">
      <c r="A22" s="11" t="s">
        <v>47</v>
      </c>
      <c r="B22" s="11" t="s">
        <v>48</v>
      </c>
      <c r="C22" s="11" t="s">
        <v>49</v>
      </c>
      <c r="D22" s="11" t="s">
        <v>50</v>
      </c>
      <c r="E22" s="2"/>
      <c r="F22" s="2"/>
      <c r="G22" s="2"/>
      <c r="H22" s="2"/>
      <c r="I22" s="19"/>
      <c r="J22" s="2"/>
    </row>
    <row r="23" ht="26" customHeight="1" spans="1:10">
      <c r="A23" s="11" t="s">
        <v>51</v>
      </c>
      <c r="B23" s="11" t="s">
        <v>52</v>
      </c>
      <c r="C23" s="11" t="s">
        <v>53</v>
      </c>
      <c r="D23" s="11" t="s">
        <v>54</v>
      </c>
      <c r="E23" s="2"/>
      <c r="F23" s="2"/>
      <c r="G23" s="2"/>
      <c r="H23" s="2"/>
      <c r="I23" s="2"/>
      <c r="J23" s="2"/>
    </row>
    <row r="24" ht="26" customHeight="1" spans="1:10">
      <c r="A24" s="11" t="s">
        <v>55</v>
      </c>
      <c r="B24" s="11" t="s">
        <v>42</v>
      </c>
      <c r="C24" s="11" t="s">
        <v>56</v>
      </c>
      <c r="D24" s="11" t="s">
        <v>57</v>
      </c>
      <c r="E24" s="2"/>
      <c r="F24" s="2"/>
      <c r="G24" s="2"/>
      <c r="H24" s="2"/>
      <c r="I24" s="2"/>
      <c r="J24" s="2"/>
    </row>
    <row r="25" ht="26" customHeight="1" spans="1:10">
      <c r="A25" s="11" t="s">
        <v>58</v>
      </c>
      <c r="B25" s="11" t="s">
        <v>59</v>
      </c>
      <c r="C25" s="11" t="s">
        <v>60</v>
      </c>
      <c r="D25" s="11" t="s">
        <v>61</v>
      </c>
      <c r="E25" s="2"/>
      <c r="F25" s="2"/>
      <c r="G25" s="2"/>
      <c r="H25" s="2"/>
      <c r="I25" s="2"/>
      <c r="J25" s="2"/>
    </row>
    <row r="26" ht="26" customHeight="1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26" customHeight="1" spans="1:10">
      <c r="A27" s="3" t="s">
        <v>62</v>
      </c>
      <c r="B27" s="3"/>
      <c r="C27" s="3"/>
      <c r="D27" s="3"/>
      <c r="E27" s="3"/>
      <c r="F27" s="3" t="s">
        <v>63</v>
      </c>
      <c r="G27" s="3"/>
      <c r="H27" s="3"/>
      <c r="I27" s="3"/>
      <c r="J27" s="3"/>
    </row>
    <row r="28" ht="26" customHeight="1" spans="1:10">
      <c r="A28" s="4" t="s">
        <v>64</v>
      </c>
      <c r="B28" s="4" t="s">
        <v>65</v>
      </c>
      <c r="C28" s="4" t="s">
        <v>66</v>
      </c>
      <c r="D28" s="4" t="s">
        <v>36</v>
      </c>
      <c r="E28" s="2"/>
      <c r="F28" s="2"/>
      <c r="G28" s="2"/>
      <c r="H28" s="2"/>
      <c r="I28" s="2"/>
      <c r="J28" s="2"/>
    </row>
    <row r="29" ht="26" customHeight="1" spans="1:10">
      <c r="A29" s="11" t="s">
        <v>67</v>
      </c>
      <c r="B29" s="8">
        <f>B11</f>
        <v>2816906</v>
      </c>
      <c r="C29" s="8">
        <f>B29</f>
        <v>2816906</v>
      </c>
      <c r="D29" s="11" t="s">
        <v>68</v>
      </c>
      <c r="E29" s="2"/>
      <c r="F29" s="2"/>
      <c r="G29" s="2"/>
      <c r="H29" s="2"/>
      <c r="I29" s="2"/>
      <c r="J29" s="2"/>
    </row>
    <row r="30" ht="35" customHeight="1" spans="1:10">
      <c r="A30" s="11" t="s">
        <v>69</v>
      </c>
      <c r="B30" s="8">
        <f>B12-B11</f>
        <v>92098</v>
      </c>
      <c r="C30" s="8">
        <f>C29+B30</f>
        <v>2909004</v>
      </c>
      <c r="D30" s="11" t="s">
        <v>70</v>
      </c>
      <c r="E30" s="2"/>
      <c r="F30" s="2"/>
      <c r="G30" s="2"/>
      <c r="H30" s="2"/>
      <c r="I30" s="2"/>
      <c r="J30" s="2"/>
    </row>
    <row r="31" ht="43" customHeight="1" spans="1:10">
      <c r="A31" s="11" t="s">
        <v>71</v>
      </c>
      <c r="B31" s="8">
        <f>B13-B12</f>
        <v>1369513.5</v>
      </c>
      <c r="C31" s="8">
        <f>C30+B31</f>
        <v>4278517.5</v>
      </c>
      <c r="D31" s="11" t="s">
        <v>72</v>
      </c>
      <c r="E31" s="2"/>
      <c r="F31" s="2"/>
      <c r="G31" s="2"/>
      <c r="H31" s="2"/>
      <c r="I31" s="2"/>
      <c r="J31" s="2"/>
    </row>
    <row r="32" ht="29" customHeight="1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26" customHeight="1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26" customHeight="1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32" customHeight="1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32" customHeight="1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32" customHeight="1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2" customHeight="1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</sheetData>
  <mergeCells count="7">
    <mergeCell ref="A1:J1"/>
    <mergeCell ref="A3:J3"/>
    <mergeCell ref="A9:H9"/>
    <mergeCell ref="A16:J16"/>
    <mergeCell ref="F16:J16"/>
    <mergeCell ref="A27:H27"/>
    <mergeCell ref="F27:J2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ABC三方案预算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惊浪</cp:lastModifiedBy>
  <dcterms:created xsi:type="dcterms:W3CDTF">2026-08-13T15:36:15Z</dcterms:created>
  <dcterms:modified xsi:type="dcterms:W3CDTF">2026-08-13T15:52:58Z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F3A83315A58549ED8C1D536403D21F3A_13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