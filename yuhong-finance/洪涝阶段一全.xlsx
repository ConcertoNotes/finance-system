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HuaweiMoveData\Users\zxw追梦者\Desktop\"/>
    </mc:Choice>
  </mc:AlternateContent>
  <bookViews>
    <workbookView windowWidth="20750" windowHeight="10030"/>
  </bookViews>
  <sheets>
    <sheet name="财务主管统筹岗-1020行开始" sheetId="1" r:id="rId1"/>
    <sheet name="采购成本保障岗-656行开始" sheetId="2" r:id="rId2"/>
    <sheet name="应急预算绩效岗-57行开始" sheetId="3" r:id="rId3"/>
    <sheet name="资金核算风控岗-1行" sheetId="4" r:id="rId4"/>
  </sheets>
  <externalReferences>
    <externalReference r:id="rId5"/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<sst xmlns="http://schemas.openxmlformats.org/spreadsheetml/2006/main" count="1237" uniqueCount="972">
  <si>
    <t>任务1：启用洪涝应急救援专项账套</t>
  </si>
  <si>
    <t>第一步：进入专项账套管理</t>
  </si>
  <si>
    <t>登录财务共享平台，进入：</t>
  </si>
  <si>
    <t>财务管理 → 专项项目管理 → 专项账套管理 → 新增账套</t>
  </si>
  <si>
    <t>新建专项账套：</t>
  </si>
  <si>
    <t>账套名称：洪涝应急救援专项账套</t>
  </si>
  <si>
    <t>项目编码：HJ-2026-001</t>
  </si>
  <si>
    <t>项目类型：应急救援专项</t>
  </si>
  <si>
    <t>核算方式：独立专项辅助核算</t>
  </si>
  <si>
    <t>启用日期：灾情发生当日</t>
  </si>
  <si>
    <t>核算币种：人民币</t>
  </si>
  <si>
    <t>会计期间：当前会计期间</t>
  </si>
  <si>
    <t>点击【保存】。</t>
  </si>
  <si>
    <t>现场口播：</t>
  </si>
  <si>
    <t>“我首先建立本次洪涝应急救援专项账套，将本次救援涉及的预算、采购、资金和会计核算统一归集到专项项目中，避免与其他日常业务混用。”</t>
  </si>
  <si>
    <t>第二步：设置专项核算科目</t>
  </si>
  <si>
    <t>进入：</t>
  </si>
  <si>
    <t>基础设置 → 会计科目 → 专项科目配置</t>
  </si>
  <si>
    <t>在现有会计科目体系基础上，为本项目配置专项辅助核算标签，重点设置：</t>
  </si>
  <si>
    <t>捐赠收入</t>
  </si>
  <si>
    <t>应急采购支出</t>
  </si>
  <si>
    <t>运输支出</t>
  </si>
  <si>
    <t>保险支出</t>
  </si>
  <si>
    <t>设备及救援保障支出</t>
  </si>
  <si>
    <t>其他应急救援支出</t>
  </si>
  <si>
    <t>对以上科目统一勾选：</t>
  </si>
  <si>
    <t>辅助核算：项目 + 网格 + 资金来源 + 物资类别</t>
  </si>
  <si>
    <t>项目统一选择：</t>
  </si>
  <si>
    <t>洪涝应急救援专项项目</t>
  </si>
  <si>
    <t>“这里不是另造一套会计科目，而是在现有会计科目基础上增加专项辅助核算维度，使每笔收入和支出能够继续追溯到具体项目、网格、资金来源和物资类别。”</t>
  </si>
  <si>
    <t>第三步：设置资金来源分类</t>
  </si>
  <si>
    <t>专项账套 → 资金来源管理 → 新增资金类别</t>
  </si>
  <si>
    <t>建立资金来源标签：</t>
  </si>
  <si>
    <t>政府财政拨款保障资金</t>
  </si>
  <si>
    <t>限定性社会捐赠</t>
  </si>
  <si>
    <t>非限定性社会捐赠</t>
  </si>
  <si>
    <t>保险赔款</t>
  </si>
  <si>
    <t>其他合规项目资金</t>
  </si>
  <si>
    <t>进一步设置资金使用属性：</t>
  </si>
  <si>
    <t>是否限定用途</t>
  </si>
  <si>
    <t>限定使用网格</t>
  </si>
  <si>
    <t>限定物资类别</t>
  </si>
  <si>
    <t>到账时间</t>
  </si>
  <si>
    <t>可支付时间</t>
  </si>
  <si>
    <t>当前可用余额</t>
  </si>
  <si>
    <t>其中：</t>
  </si>
  <si>
    <t>限定性捐赠 → 开启“用途强制校验”</t>
  </si>
  <si>
    <t>“我进一步给不同来源的救灾资金设置用途标签。尤其是限定性捐赠资金，系统开启用途强制校验，后续付款用途与捐赠协议不一致时，系统将自动预警并阻断支付。”</t>
  </si>
  <si>
    <t>第四步：建立“9网格”辅助核算维度</t>
  </si>
  <si>
    <t>基础设置 → 辅助核算 → 网格管理</t>
  </si>
  <si>
    <t>新增：</t>
  </si>
  <si>
    <t>甲1、甲2、甲3、甲4、甲5、甲6、甲7、甲8、甲9。</t>
  </si>
  <si>
    <t>设置辅助核算层级：</t>
  </si>
  <si>
    <t>洪涝应急救援专项 → 网格 → 物资/费用项目</t>
  </si>
  <si>
    <t>例如：</t>
  </si>
  <si>
    <t>洪涝应急救援专项</t>
  </si>
  <si>
    <t>→ 甲3网格</t>
  </si>
  <si>
    <t>→ 帐篷</t>
  </si>
  <si>
    <t>→ 应急采购支出</t>
  </si>
  <si>
    <t>“通过网格辅助核算，后续不仅能看到整个项目花了多少钱，还能进一步追溯到甲1至甲9每个网格分别投入多少资金、采购多少物资。”</t>
  </si>
  <si>
    <t>第五步：配置“需求—物资—资金—凭证”联动关系</t>
  </si>
  <si>
    <t>专项账套 → 业务财务映射 → 联动规则配置</t>
  </si>
  <si>
    <t>建立四层关联：</t>
  </si>
  <si>
    <t>①需求单</t>
  </si>
  <si>
    <t>绑定：</t>
  </si>
  <si>
    <t>网格编号、需求物资、需求数量、预算项目。</t>
  </si>
  <si>
    <t>↓</t>
  </si>
  <si>
    <t>②采购/物资单</t>
  </si>
  <si>
    <t>网格编号、物资编码、采购数量、供应商、合同编号。</t>
  </si>
  <si>
    <t>③付款申请</t>
  </si>
  <si>
    <t>匹配：</t>
  </si>
  <si>
    <t>预算额度、资金来源、资金用途标签、合同编号。</t>
  </si>
  <si>
    <t>④会计凭证</t>
  </si>
  <si>
    <t>设置：</t>
  </si>
  <si>
    <t>会计科目、专项项目、网格、资金来源、合同编号。</t>
  </si>
  <si>
    <t>设置规则：</t>
  </si>
  <si>
    <t>无需求依据 → 不得形成采购申请</t>
  </si>
  <si>
    <t>超预算 → 自动预警</t>
  </si>
  <si>
    <t>资金用途不匹配 → 阻断付款</t>
  </si>
  <si>
    <t>未完成验收 → 暂停支付</t>
  </si>
  <si>
    <t>四流数据不一致 → 转人工复核</t>
  </si>
  <si>
    <t>点击【保存并启用】。</t>
  </si>
  <si>
    <t>“现在我建立需求、物资、资金和凭证之间的联动关系。后续任何一笔付款，都能够向前追溯到采购合同和物资需求，向后对应会计凭证，实现业务数据与财务数据贯通。”</t>
  </si>
  <si>
    <t>第六步：设置岗位权限</t>
  </si>
  <si>
    <t>系统管理 → 用户权限 → 角色权限配置</t>
  </si>
  <si>
    <t>建立五个角色：</t>
  </si>
  <si>
    <t>财务主管统筹岗</t>
  </si>
  <si>
    <t>权限：</t>
  </si>
  <si>
    <t>专项账套启用</t>
  </si>
  <si>
    <t>预算及重大调整审批</t>
  </si>
  <si>
    <t>付款审批</t>
  </si>
  <si>
    <t>异常事项最终复核</t>
  </si>
  <si>
    <t>全项目数据查看</t>
  </si>
  <si>
    <t>应急预算绩效岗</t>
  </si>
  <si>
    <t>灾情数据读取</t>
  </si>
  <si>
    <t>BI分析</t>
  </si>
  <si>
    <t>预算编制</t>
  </si>
  <si>
    <t>预算调整申请</t>
  </si>
  <si>
    <t>绩效分析</t>
  </si>
  <si>
    <t>不得直接付款。</t>
  </si>
  <si>
    <t>采购成本保障岗</t>
  </si>
  <si>
    <t>采购需求</t>
  </si>
  <si>
    <t>价格分析</t>
  </si>
  <si>
    <t>供应商评价</t>
  </si>
  <si>
    <t>合同及履约管理</t>
  </si>
  <si>
    <t>不得直接修改资金来源。</t>
  </si>
  <si>
    <t>资金核算风控岗</t>
  </si>
  <si>
    <t>资金分类</t>
  </si>
  <si>
    <t>预算占用</t>
  </si>
  <si>
    <t>付款核验</t>
  </si>
  <si>
    <t>四流匹配</t>
  </si>
  <si>
    <t>会计核算</t>
  </si>
  <si>
    <t>银行对账</t>
  </si>
  <si>
    <t>不得自行审批本人提交的付款。</t>
  </si>
  <si>
    <t>数字人“御洪星”</t>
  </si>
  <si>
    <t>数据采集</t>
  </si>
  <si>
    <t>风险提示</t>
  </si>
  <si>
    <t>异常监测</t>
  </si>
  <si>
    <t>信息推送</t>
  </si>
  <si>
    <t>证据归集</t>
  </si>
  <si>
    <t>仅提供辅助决策，不拥有最终审批权限。</t>
  </si>
  <si>
    <t>点击【保存权限】。</t>
  </si>
  <si>
    <t>第七步：设置关键内控规则</t>
  </si>
  <si>
    <t>专项账套 → 风控中心 → 规则配置</t>
  </si>
  <si>
    <t>启用5项控制规则：</t>
  </si>
  <si>
    <t>规则1：预算控制</t>
  </si>
  <si>
    <t>付款申请金额 ＞ 剩余预算额度</t>
  </si>
  <si>
    <t>→ 【红色预警】</t>
  </si>
  <si>
    <t>→ 禁止提交付款。</t>
  </si>
  <si>
    <t>规则2：资金用途控制</t>
  </si>
  <si>
    <t>实际付款用途 ≠ 资金用途标签</t>
  </si>
  <si>
    <t>→ 【资金用途错配预警】</t>
  </si>
  <si>
    <t>→ 自动阻断。</t>
  </si>
  <si>
    <t>规则3：合同控制</t>
  </si>
  <si>
    <t>付款申请无有效合同或直采依据</t>
  </si>
  <si>
    <t>→ 转人工复核。</t>
  </si>
  <si>
    <t>规则4：履约控制</t>
  </si>
  <si>
    <t>验收状态 ≠ 已验收</t>
  </si>
  <si>
    <t>→ 暂停付款。</t>
  </si>
  <si>
    <t>规则5：四流校验</t>
  </si>
  <si>
    <t>合同流、物资流、票据流、资金流存在异常</t>
  </si>
  <si>
    <t>→ 自动进入异常审核队列。</t>
  </si>
  <si>
    <t>点击【启用规则】。</t>
  </si>
  <si>
    <t>第八步：测试联动并正式启用账套</t>
  </si>
  <si>
    <t>点击【校验测试】。</t>
  </si>
  <si>
    <t>系统显示：</t>
  </si>
  <si>
    <t>需求关联：通过</t>
  </si>
  <si>
    <t>预算项目关联：通过</t>
  </si>
  <si>
    <t>资金来源关联：通过</t>
  </si>
  <si>
    <t>会计科目关联：通过</t>
  </si>
  <si>
    <t>网格辅助核算：通过</t>
  </si>
  <si>
    <t>权限校验：通过</t>
  </si>
  <si>
    <t>系统提示：</t>
  </si>
  <si>
    <t>“专项账套配置校验通过。”</t>
  </si>
  <si>
    <t>点击：</t>
  </si>
  <si>
    <t>【正式启用】</t>
  </si>
  <si>
    <t>系统状态：</t>
  </si>
  <si>
    <t>洪涝应急救援专项账套——已启用</t>
  </si>
  <si>
    <t>【财务主管统筹岗总结口播】</t>
  </si>
  <si>
    <t>“专项账套已经成功启用。我已完成专项项目、会计科目、9网格辅助核算、资金来源、岗位权限及风险控制规则配置，并建立‘需求—物资—资金—凭证’联动机制。</t>
  </si>
  <si>
    <t>后续每笔救灾资金都必须经过预算控制、资金用途匹配和业务凭证关联后才能进入支付流程，实现资金来源清楚、预算占用可控、物资去向可查、会计凭证可追溯，为后续采购、支付、绩效评价和复盘分析提供统一的数据基础。”</t>
  </si>
  <si>
    <t>任务3：数据建模分析合规性检测</t>
  </si>
  <si>
    <t>第一步：调取已清洗的9网格灾情数据</t>
  </si>
  <si>
    <t>进入平台：</t>
  </si>
  <si>
    <t>数据共享中心 → 洪涝应急救援项目 → 数据质量与合规检测</t>
  </si>
  <si>
    <t>选择数据集：</t>
  </si>
  <si>
    <t>《9网格灾情清洗数据表》</t>
  </si>
  <si>
    <t>选择检测场景：</t>
  </si>
  <si>
    <t>预算模型准入检测</t>
  </si>
  <si>
    <t>系统自动读取：</t>
  </si>
  <si>
    <t>甲1—甲9网格数据</t>
  </si>
  <si>
    <t>数据采集来源</t>
  </si>
  <si>
    <t>数据采集时间</t>
  </si>
  <si>
    <t>清洗记录</t>
  </si>
  <si>
    <t>异常值复核记录</t>
  </si>
  <si>
    <t>基础信息匹配结果</t>
  </si>
  <si>
    <t>【载入检测数据】</t>
  </si>
  <si>
    <t>数据载入完成：9/9网格</t>
  </si>
  <si>
    <t>现场口播</t>
  </si>
  <si>
    <t>“共享灾区需求数据我已查收。现在我将已完成清洗的9网格灾情数据载入质量与合规检测模块，对数据是否具备进入预算模型的条件进行两层校验。”</t>
  </si>
  <si>
    <t>第二步：设置第一层——数据质量准入规则</t>
  </si>
  <si>
    <t>检测规则 → 数据质量规则 → 新建准入规则</t>
  </si>
  <si>
    <t>规则名称：</t>
  </si>
  <si>
    <t>灾情数据预算模型准入规则</t>
  </si>
  <si>
    <t>设置内部质量门槛：</t>
  </si>
  <si>
    <t>数据质量准入值：95%</t>
  </si>
  <si>
    <t>并标注：</t>
  </si>
  <si>
    <t>“项目内部数据可用性门槛，不作为法律合规标准。”</t>
  </si>
  <si>
    <t>设置检测指标：</t>
  </si>
  <si>
    <t>1. 数据完整率</t>
  </si>
  <si>
    <t>计算规则：</t>
  </si>
  <si>
    <t>完整率 = 已完整记录数 ÷ 应采集记录数 × 100%</t>
  </si>
  <si>
    <t>检测内容：</t>
  </si>
  <si>
    <t>网格编号</t>
  </si>
  <si>
    <t>受灾人数</t>
  </si>
  <si>
    <t>被困人数</t>
  </si>
  <si>
    <t>转移安置人数</t>
  </si>
  <si>
    <t>特殊人群数</t>
  </si>
  <si>
    <t>道路情况</t>
  </si>
  <si>
    <t>降雨量</t>
  </si>
  <si>
    <t>水位</t>
  </si>
  <si>
    <t>距仓库距离</t>
  </si>
  <si>
    <t>规则：</t>
  </si>
  <si>
    <t>完整率 ≥ 95% → 通过</t>
  </si>
  <si>
    <t>完整率 ＜ 95% → 退回补采</t>
  </si>
  <si>
    <t>2. 数据及时率</t>
  </si>
  <si>
    <t>及时率 = 规定时间内完成采集记录数 ÷ 应采集记录数 × 100%</t>
  </si>
  <si>
    <t>设定：</t>
  </si>
  <si>
    <t>采集时间要求：</t>
  </si>
  <si>
    <t>灾后0小时初始数据</t>
  </si>
  <si>
    <t>及时率 ≥ 95% → 通过</t>
  </si>
  <si>
    <t>及时率 ＜ 95% → 退回复核</t>
  </si>
  <si>
    <t>3. 数据准确性校验</t>
  </si>
  <si>
    <t>检测方式设置为：</t>
  </si>
  <si>
    <t>多源交叉验证</t>
  </si>
  <si>
    <t>核验来源：</t>
  </si>
  <si>
    <t>应急管理部门报送数据</t>
  </si>
  <si>
    <t>气象监测数据</t>
  </si>
  <si>
    <t>无人机巡航数据</t>
  </si>
  <si>
    <t>异常数据处理：</t>
  </si>
  <si>
    <t>统计异常 ≠ 错误数据</t>
  </si>
  <si>
    <t>选择：</t>
  </si>
  <si>
    <t>异常值保留 → 多源业务复核 → 确认真实后进入模型</t>
  </si>
  <si>
    <t>甲3累计降雨量156mm</t>
  </si>
  <si>
    <t>甲6累计降雨量148mm</t>
  </si>
  <si>
    <t>系统读取前序复核结果：</t>
  </si>
  <si>
    <t>多源验证通过</t>
  </si>
  <si>
    <t>处理状态：</t>
  </si>
  <si>
    <t>保留，重点关注</t>
  </si>
  <si>
    <t>【保存质量规则】</t>
  </si>
  <si>
    <t>“第一层为数据质量校验。我将95%设置为本项目内部数据可用性门槛，只用于判断数据是否可以进入预算模型，不作为法律合规标准。”</t>
  </si>
  <si>
    <t>第三步：设置质量检测处置逻辑</t>
  </si>
  <si>
    <t>规则配置 → 质量异常处置</t>
  </si>
  <si>
    <t>建立规则：</t>
  </si>
  <si>
    <t>规则Q01</t>
  </si>
  <si>
    <t>如果：</t>
  </si>
  <si>
    <t>完整率 ＜ 95%</t>
  </si>
  <si>
    <t>则：</t>
  </si>
  <si>
    <t>状态 = 不准入</t>
  </si>
  <si>
    <t>动作 = 自动退回采购成本保障岗补采</t>
  </si>
  <si>
    <t>规则Q02</t>
  </si>
  <si>
    <t>及时率 ＜ 95%</t>
  </si>
  <si>
    <t>动作 = 退回核验采集时间</t>
  </si>
  <si>
    <t>规则Q03</t>
  </si>
  <si>
    <t>存在未完成业务复核的统计异常</t>
  </si>
  <si>
    <t>状态 = 暂缓准入</t>
  </si>
  <si>
    <t>动作 = 进入人工复核</t>
  </si>
  <si>
    <t>规则Q04</t>
  </si>
  <si>
    <t>质量指标达到内部门槛</t>
  </si>
  <si>
    <t>进入第二层合规检测</t>
  </si>
  <si>
    <t>【启用规则】</t>
  </si>
  <si>
    <t>第四步：设置第二层——合规“一票否决”规则</t>
  </si>
  <si>
    <t>检测规则 → 合规检测 → 新建否决规则</t>
  </si>
  <si>
    <t>判定模式：一票否决</t>
  </si>
  <si>
    <t>任一强制性合规项目不通过，则禁止进入预算模型或后续支付流程。</t>
  </si>
  <si>
    <t>建立6项检测规则。</t>
  </si>
  <si>
    <t>合规项1：数据采集授权</t>
  </si>
  <si>
    <t>规则编码：</t>
  </si>
  <si>
    <t>C01</t>
  </si>
  <si>
    <t>数据来源是否经过授权。</t>
  </si>
  <si>
    <t>检查：</t>
  </si>
  <si>
    <t>应急管理数据访问授权</t>
  </si>
  <si>
    <t>气象数据访问授权</t>
  </si>
  <si>
    <t>无人机数据使用权限</t>
  </si>
  <si>
    <t>全部通过 = PASS</t>
  </si>
  <si>
    <t>任一未授权 = VETO</t>
  </si>
  <si>
    <t>合规项2：字段完整与清洗规范</t>
  </si>
  <si>
    <t>C02</t>
  </si>
  <si>
    <t>字段标准化结果</t>
  </si>
  <si>
    <t>重复数据处理结果</t>
  </si>
  <si>
    <t>缺失值检查结果</t>
  </si>
  <si>
    <t>异常值复核结果</t>
  </si>
  <si>
    <t>如存在未经处理的数据质量问题：</t>
  </si>
  <si>
    <t>禁止进入预算模型</t>
  </si>
  <si>
    <t>合规项3：模型逻辑</t>
  </si>
  <si>
    <t>C03</t>
  </si>
  <si>
    <t>检测：</t>
  </si>
  <si>
    <t>模型输入字段是否来自已清洗数据</t>
  </si>
  <si>
    <t>计算字段是否与数据维度一致</t>
  </si>
  <si>
    <t>是否存在未经授权人工修改数据</t>
  </si>
  <si>
    <t>模型参数是否可追溯</t>
  </si>
  <si>
    <t>模型逻辑可追溯 → 通过</t>
  </si>
  <si>
    <t>合规项4：资金用途限制</t>
  </si>
  <si>
    <t>C04</t>
  </si>
  <si>
    <t>资金项目是否已经建立用途标签。</t>
  </si>
  <si>
    <t>包括：</t>
  </si>
  <si>
    <t>限定性资金必须匹配限定用途</t>
  </si>
  <si>
    <t>用途不匹配 → 一票否决</t>
  </si>
  <si>
    <t>合规项5：预算审批权限</t>
  </si>
  <si>
    <t>C05</t>
  </si>
  <si>
    <t>预算编制、调整、审批角色是否符合内部授权。</t>
  </si>
  <si>
    <t>应急预算绩效岗：预算测算</t>
  </si>
  <si>
    <t>财务主管统筹岗：审核确认</t>
  </si>
  <si>
    <t>未经授权审批 → 不得进入正式预算执行</t>
  </si>
  <si>
    <t>合规项6：付款审批权限</t>
  </si>
  <si>
    <t>C06</t>
  </si>
  <si>
    <t>付款申请、付款核验和最终审批权限是否分离。</t>
  </si>
  <si>
    <t>申请人与最终审批人权限冲突 → 一票否决</t>
  </si>
  <si>
    <t>【保存否决规则】</t>
  </si>
  <si>
    <t>“第二层为合规否决项检测。这里不采用平均分，也不设置综合得分，而实行一票否决。只要数据授权、资金用途或者审批权限等任一强制性条件不符合要求，系统立即禁止进入预算决策和后续支付流程。”</t>
  </si>
  <si>
    <t>第五步：配置三级合规依据</t>
  </si>
  <si>
    <t>合规知识库 → 规则依据管理</t>
  </si>
  <si>
    <t>建立三级依据。</t>
  </si>
  <si>
    <t>一级：法律法规</t>
  </si>
  <si>
    <t>挂接：</t>
  </si>
  <si>
    <t>《中华人民共和国突发事件应对法》等本项目已明确适用的相关规定</t>
  </si>
  <si>
    <t>二级：当地管理要求</t>
  </si>
  <si>
    <t>当地洪涝灾害应急预案</t>
  </si>
  <si>
    <t>当地救灾资金管理要求</t>
  </si>
  <si>
    <t>三级：内部控制制度</t>
  </si>
  <si>
    <t>单位内部授权审批制度</t>
  </si>
  <si>
    <t>项目预算审批权限</t>
  </si>
  <si>
    <t>付款审批权限</t>
  </si>
  <si>
    <t>设置规则引用方式：</t>
  </si>
  <si>
    <t>每项检测规则必须绑定对应制度依据</t>
  </si>
  <si>
    <t>【完成规则挂接】</t>
  </si>
  <si>
    <t>“合规依据按照‘法律法规—当地应急预案及救灾资金管理要求—单位内部授权审批制度’三级体系配置。”</t>
  </si>
  <si>
    <t>第六步：执行自动检测</t>
  </si>
  <si>
    <t>返回：</t>
  </si>
  <si>
    <t>数据质量与合规检测中心</t>
  </si>
  <si>
    <t>【开始检测】</t>
  </si>
  <si>
    <t>系统依次运行：</t>
  </si>
  <si>
    <t>数据质量检测</t>
  </si>
  <si>
    <t>数据完整率：100%</t>
  </si>
  <si>
    <t>状态：</t>
  </si>
  <si>
    <t>✅ 通过</t>
  </si>
  <si>
    <t>数据及时率：100%</t>
  </si>
  <si>
    <t>统计异常复核：2项</t>
  </si>
  <si>
    <t>甲3：通过</t>
  </si>
  <si>
    <t>甲6：通过</t>
  </si>
  <si>
    <t>数据维度一致性：通过</t>
  </si>
  <si>
    <t>合规否决项检测</t>
  </si>
  <si>
    <t>数据采集授权：</t>
  </si>
  <si>
    <t>✅ PASS</t>
  </si>
  <si>
    <t>字段及清洗规范：</t>
  </si>
  <si>
    <t>模型逻辑：</t>
  </si>
  <si>
    <t>资金用途限制：</t>
  </si>
  <si>
    <t>预算审批权限：</t>
  </si>
  <si>
    <t>付款审批权限：</t>
  </si>
  <si>
    <t>否决项：0项</t>
  </si>
  <si>
    <t>合规通过率：100%</t>
  </si>
  <si>
    <t>第七步：生成准入判定结果</t>
  </si>
  <si>
    <t>系统自动执行判断逻辑：</t>
  </si>
  <si>
    <t>数据质量 ≥ 95%</t>
  </si>
  <si>
    <t>AND</t>
  </si>
  <si>
    <t>合规否决项 = 0</t>
  </si>
  <si>
    <t>系统判定：</t>
  </si>
  <si>
    <t>【准予进入预算模型】</t>
  </si>
  <si>
    <t>绿色——准入</t>
  </si>
  <si>
    <t>系统同时显示：</t>
  </si>
  <si>
    <t>合规否决项通过率：100%</t>
  </si>
  <si>
    <t>未处理异常：0</t>
  </si>
  <si>
    <t>数据网格：9/9</t>
  </si>
  <si>
    <t>数据来源：已验证</t>
  </si>
  <si>
    <t>模型准入状态：通过</t>
  </si>
  <si>
    <t>“检测结果已经生成。本次9网格数据完整率和及时率均达到100%，达到95%的内部数据使用门槛；同时所有合规否决项全部通过，因此系统判定本批数据准予进入预算模型。”</t>
  </si>
  <si>
    <t>第八步：生成《灾情数据质量与合规校验单》</t>
  </si>
  <si>
    <t>【生成检测报告】</t>
  </si>
  <si>
    <t>系统自动生成：</t>
  </si>
  <si>
    <t>《灾情数据质量与合规校验单》</t>
  </si>
  <si>
    <t>报告内容包括：</t>
  </si>
  <si>
    <t>数据集名称</t>
  </si>
  <si>
    <t>检测时间</t>
  </si>
  <si>
    <t>数据完整率</t>
  </si>
  <si>
    <t>数据及时率</t>
  </si>
  <si>
    <t>异常复核情况</t>
  </si>
  <si>
    <t>数据来源</t>
  </si>
  <si>
    <t>授权状态</t>
  </si>
  <si>
    <t>合规检测项目</t>
  </si>
  <si>
    <t>合规依据</t>
  </si>
  <si>
    <t>否决项结果</t>
  </si>
  <si>
    <t>模型准入结果</t>
  </si>
  <si>
    <t>审核人员</t>
  </si>
  <si>
    <t>审核人：</t>
  </si>
  <si>
    <t>【审核确认】</t>
  </si>
  <si>
    <t>第九步：同步至数据共享中心</t>
  </si>
  <si>
    <t>【同步共享中心】</t>
  </si>
  <si>
    <t>选择共享对象：</t>
  </si>
  <si>
    <t>数字人御洪星</t>
  </si>
  <si>
    <t>共享内容：</t>
  </si>
  <si>
    <t>《9网格清洗数据》</t>
  </si>
  <si>
    <t>【确认同步】</t>
  </si>
  <si>
    <t>“数据共享成功，已开放预算模型调用权限。”</t>
  </si>
  <si>
    <t>【财务主管统筹岗最终口播】</t>
  </si>
  <si>
    <t>“本次数据质量与合规检测已经完成。</t>
  </si>
  <si>
    <t>第一层数据质量检测中，9网格数据完整率、及时率均达到100%，达到项目95%的内部数据使用门槛；甲3、甲6统计高值已经过多源交叉验证，确认为真实灾情。</t>
  </si>
  <si>
    <t>第二层合规检测采用一票否决机制，数据采集授权、清洗规范、模型逻辑、资金用途、预算审批和付款审批权限均核验通过，无合规否决项。</t>
  </si>
  <si>
    <t>因此，本批数据满足预算模型准入条件。我现将《灾情数据质量与合规校验单》及模型准入结果同步至数据共享中心，开放后续预算模型调用权限。”</t>
  </si>
  <si>
    <t>B方案预算审批</t>
  </si>
  <si>
    <t>第一步：接收并登记III级响应通知</t>
  </si>
  <si>
    <t>应急财务平台 → 响应管理 → 响应通知登记</t>
  </si>
  <si>
    <t>新增记录：</t>
  </si>
  <si>
    <t>事件名称：洪涝应急救援</t>
  </si>
  <si>
    <t>当前响应等级：III级</t>
  </si>
  <si>
    <t>响应来源：上级部门通知</t>
  </si>
  <si>
    <t>生效时间：灾后0.5h</t>
  </si>
  <si>
    <t>通知状态：已确认</t>
  </si>
  <si>
    <t>关联项目：洪涝应急救援专项</t>
  </si>
  <si>
    <t>上传或关联：</t>
  </si>
  <si>
    <t>《III级应急响应通知》</t>
  </si>
  <si>
    <t>【确认接收】</t>
  </si>
  <si>
    <t>现场口播可以说：</t>
  </si>
  <si>
    <t>“收到御洪星通报，我首先在系统登记上级部门III级应急响应通知，并将其与本次洪涝应急救援专项项目关联。”</t>
  </si>
  <si>
    <t>第二步：让系统自动匹配对应预算方案</t>
  </si>
  <si>
    <t>【载入B方案】</t>
  </si>
  <si>
    <t>B方案参数：</t>
  </si>
  <si>
    <t>总预算：2,909,004元</t>
  </si>
  <si>
    <t>基础执行预算：2,618,103.60元</t>
  </si>
  <si>
    <t>预备费：290,900.40元</t>
  </si>
  <si>
    <t>预备费比例：10%</t>
  </si>
  <si>
    <t>覆盖人数：7000人</t>
  </si>
  <si>
    <t>安置期：3天</t>
  </si>
  <si>
    <t>第三步：核验财政资金到账情况</t>
  </si>
  <si>
    <t>资金管理 → 财政资金到账台账</t>
  </si>
  <si>
    <t>显示：</t>
  </si>
  <si>
    <t>资金项目</t>
  </si>
  <si>
    <t>计划金额</t>
  </si>
  <si>
    <t>已到账</t>
  </si>
  <si>
    <t>状态</t>
  </si>
  <si>
    <t>G01</t>
  </si>
  <si>
    <t>200万元</t>
  </si>
  <si>
    <t>G02</t>
  </si>
  <si>
    <t>80万元</t>
  </si>
  <si>
    <t>G03首批</t>
  </si>
  <si>
    <t>86万元</t>
  </si>
  <si>
    <t>G03剩余</t>
  </si>
  <si>
    <t>36万元</t>
  </si>
  <si>
    <t>0万元</t>
  </si>
  <si>
    <t>追加审批中</t>
  </si>
  <si>
    <t>合计</t>
  </si>
  <si>
    <t>402万元</t>
  </si>
  <si>
    <t>366万元</t>
  </si>
  <si>
    <t>部分到账</t>
  </si>
  <si>
    <t>系统设置：</t>
  </si>
  <si>
    <t>资金计算口径：仅计已确认到账资金</t>
  </si>
  <si>
    <t>因此当前可确认资金：</t>
  </si>
  <si>
    <t>3,660,000元</t>
  </si>
  <si>
    <t>“政府财政资金计划协调402万元，但目前实际确认到账366万元，G03剩余36万元仍在追加审批，因此我按已确认到账资金口径进行预算保障能力测算。”</t>
  </si>
  <si>
    <t>第四步：执行资金覆盖率测算</t>
  </si>
  <si>
    <t>预算管理 → 资金保障分析 → 覆盖率测算</t>
  </si>
  <si>
    <t>系统自动带入：</t>
  </si>
  <si>
    <t>当前已确认可用资金：3,660,000元</t>
  </si>
  <si>
    <t>B方案预算需求：2,909,004元</t>
  </si>
  <si>
    <t>设置计算公式：</t>
  </si>
  <si>
    <t>资金覆盖率 = 已确认可用资金 ÷ 预算需求 ×100%</t>
  </si>
  <si>
    <t>系统计算：</t>
  </si>
  <si>
    <t>3,660,000 ÷ 2,909,004 ×100% = 125.82%</t>
  </si>
  <si>
    <t>判断规则：</t>
  </si>
  <si>
    <t>≥100% → 绿色：资金可覆盖</t>
  </si>
  <si>
    <t>95%—100% → 黄色：关注</t>
  </si>
  <si>
    <t>＜95% → 红色：存在资金缺口</t>
  </si>
  <si>
    <t>资金覆盖率：125.82%</t>
  </si>
  <si>
    <t>状态：🟢 资金充足</t>
  </si>
  <si>
    <t>当前资金缺口：0元</t>
  </si>
  <si>
    <t>【生成资金保障分析】</t>
  </si>
  <si>
    <t>第五步：建立B方案预算控制额度</t>
  </si>
  <si>
    <t>预算管理 → 应急预算 → 预算启动</t>
  </si>
  <si>
    <t>B方案</t>
  </si>
  <si>
    <t>录入/自动读取：</t>
  </si>
  <si>
    <t>预算总额：2,909,004元</t>
  </si>
  <si>
    <t>预算控制方式：总额控制 + 分项控制</t>
  </si>
  <si>
    <t>总预算上限：</t>
  </si>
  <si>
    <t>2,909,004元</t>
  </si>
  <si>
    <t>系统规则：</t>
  </si>
  <si>
    <t>累计预算占用不得超过2,909,004元</t>
  </si>
  <si>
    <t>【建立预算控制】</t>
  </si>
  <si>
    <t>第六步：提交并审批B方案</t>
  </si>
  <si>
    <t>【提交预算审批】</t>
  </si>
  <si>
    <t>审批页面显示：</t>
  </si>
  <si>
    <t>响应等级：III级</t>
  </si>
  <si>
    <t>对应预算：B方案</t>
  </si>
  <si>
    <t>已确认可用资金：3,660,000元</t>
  </si>
  <si>
    <t>资金缺口：0元</t>
  </si>
  <si>
    <t>风险状态：绿色</t>
  </si>
  <si>
    <t>财务主管点击：</t>
  </si>
  <si>
    <t>【审核通过】</t>
  </si>
  <si>
    <t>并填写审批意见：</t>
  </si>
  <si>
    <t>“III级响应对应B方案，当前已确认财政资金覆盖率125.82%，无资金缺口。同意启动B方案，预算上限2,909,004元，其中预备费290,900.40元单独控制。”</t>
  </si>
  <si>
    <t>【确认审批】</t>
  </si>
  <si>
    <t>审批完成后系统自动执行：</t>
  </si>
  <si>
    <r>
      <rPr>
        <sz val="11"/>
        <color theme="1"/>
        <rFont val="宋体"/>
        <charset val="134"/>
        <scheme val="minor"/>
      </rPr>
      <t>B方案状态：</t>
    </r>
    <r>
      <rPr>
        <b/>
        <sz val="11"/>
        <color theme="1"/>
        <rFont val="宋体"/>
        <charset val="134"/>
        <scheme val="minor"/>
      </rPr>
      <t>已批准</t>
    </r>
  </si>
  <si>
    <r>
      <rPr>
        <sz val="11"/>
        <color theme="1"/>
        <rFont val="宋体"/>
        <charset val="134"/>
        <scheme val="minor"/>
      </rPr>
      <t>预算额度：</t>
    </r>
    <r>
      <rPr>
        <b/>
        <sz val="11"/>
        <color theme="1"/>
        <rFont val="宋体"/>
        <charset val="134"/>
        <scheme val="minor"/>
      </rPr>
      <t>已生效</t>
    </r>
  </si>
  <si>
    <r>
      <rPr>
        <sz val="11"/>
        <color theme="1"/>
        <rFont val="宋体"/>
        <charset val="134"/>
        <scheme val="minor"/>
      </rPr>
      <t>总预算上限：</t>
    </r>
    <r>
      <rPr>
        <b/>
        <sz val="11"/>
        <color theme="1"/>
        <rFont val="宋体"/>
        <charset val="134"/>
        <scheme val="minor"/>
      </rPr>
      <t>2,909,004元</t>
    </r>
  </si>
  <si>
    <t>当前预算占用：0元</t>
  </si>
  <si>
    <t>当前预算余额：2,909,004元</t>
  </si>
  <si>
    <t>预备费余额：290,900.40元</t>
  </si>
  <si>
    <t>审批人：财务主管统筹岗</t>
  </si>
  <si>
    <t>审批状态：通过</t>
  </si>
  <si>
    <t>并自动生成：</t>
  </si>
  <si>
    <t>《B方案应急预算审批单》</t>
  </si>
  <si>
    <t>《资金保障测算表》</t>
  </si>
  <si>
    <t>《预备费控制台账》</t>
  </si>
  <si>
    <t>第七步：通知御洪星并同步共享中心</t>
  </si>
  <si>
    <t>【同步数据共享中心】</t>
  </si>
  <si>
    <t>同步内容：</t>
  </si>
  <si>
    <t>III级响应状态</t>
  </si>
  <si>
    <t>B方案预算</t>
  </si>
  <si>
    <t>预算上限</t>
  </si>
  <si>
    <t>当前可用财政资金</t>
  </si>
  <si>
    <t>资金覆盖率</t>
  </si>
  <si>
    <t>预备费额度</t>
  </si>
  <si>
    <t>审批结果</t>
  </si>
  <si>
    <t>B方案预算审批已完成</t>
  </si>
  <si>
    <t>数据共享成功</t>
  </si>
  <si>
    <t>御洪星记录：</t>
  </si>
  <si>
    <t>预算方案：B方案</t>
  </si>
  <si>
    <t>预算上限：2,909,004元</t>
  </si>
  <si>
    <t>预算方案二次决策</t>
  </si>
  <si>
    <t>响应等级：III级 → II级</t>
  </si>
  <si>
    <t>预算方案：B → C</t>
  </si>
  <si>
    <t>C方案预算上限：4,278,517.50元</t>
  </si>
  <si>
    <t>预备费：376,000元｜已批准释放</t>
  </si>
  <si>
    <t>政府财政资金：4,020,000元｜已到账</t>
  </si>
  <si>
    <t>资金覆盖率：93.96%</t>
  </si>
  <si>
    <t>短期资金缺口：258,517.50元</t>
  </si>
  <si>
    <t>红十字会划转申请：258,517.50元｜待到账、待用途标签确认</t>
  </si>
  <si>
    <t>任务2：搭建洪涝应急救援数据采集系统</t>
  </si>
  <si>
    <t>第一步：进入数据采集中心，新建采集任务</t>
  </si>
  <si>
    <t>数据中心 → 数据采集管理 → 新建采集任务</t>
  </si>
  <si>
    <t>新建任务：</t>
  </si>
  <si>
    <t>任务名称：洪涝应急救援数据采集</t>
  </si>
  <si>
    <t>任务编号：CJ-2026-001</t>
  </si>
  <si>
    <t>数据场景：洪涝应急救援</t>
  </si>
  <si>
    <t>采集范围：甲1—甲9网格</t>
  </si>
  <si>
    <t>采集方式：API接口 + 平台数据 + 无人机数据</t>
  </si>
  <si>
    <t>更新方式：实时更新</t>
  </si>
  <si>
    <t>任务状态：启用</t>
  </si>
  <si>
    <t>【创建任务】</t>
  </si>
  <si>
    <t>“收到！我先在数据采集平台新建本次洪涝应急救援采集任务，将甲1至甲9九个网格纳入统一数据采集范围。”</t>
  </si>
  <si>
    <t>第二步：配置多源数据接口</t>
  </si>
  <si>
    <t>数据源管理 → 添加数据源</t>
  </si>
  <si>
    <t>依次添加数据源。</t>
  </si>
  <si>
    <t>数据源01：应急管理局平台</t>
  </si>
  <si>
    <t>数据源名称：应急管理局灾情数据</t>
  </si>
  <si>
    <t>数据源类型：API接口</t>
  </si>
  <si>
    <t>数据内容：受灾人数、被困人数、转移安置人数、特殊人群、道路中断情况</t>
  </si>
  <si>
    <t>数据更新：实时</t>
  </si>
  <si>
    <t>接口状态：已授权</t>
  </si>
  <si>
    <t>【连接测试】</t>
  </si>
  <si>
    <t>连接成功</t>
  </si>
  <si>
    <t>数据源02：气象局平台</t>
  </si>
  <si>
    <t>数据源名称：气象监测数据</t>
  </si>
  <si>
    <t>数据内容：累计降雨量、实时水位</t>
  </si>
  <si>
    <t>更新频率：实时</t>
  </si>
  <si>
    <t>数据权限：授权访问</t>
  </si>
  <si>
    <t>数据源03：无人机巡航平台</t>
  </si>
  <si>
    <t>数据源名称：无人机巡航数据</t>
  </si>
  <si>
    <t>数据内容：网格编号、巡航时间、灾情影像、道路状态、现场灾情复核结果</t>
  </si>
  <si>
    <t>更新方式：巡航后自动上传</t>
  </si>
  <si>
    <t>数据用途：灾情数据交叉验证</t>
  </si>
  <si>
    <t>数据源04：“御洪星”智能接警数据</t>
  </si>
  <si>
    <t>数据源名称：御洪星灾区需求数据</t>
  </si>
  <si>
    <t>数据类型：语音转译/结构化数据</t>
  </si>
  <si>
    <t>数据内容：网格编号、需求物资、紧急程度、上报时间</t>
  </si>
  <si>
    <t>数据状态：实时同步</t>
  </si>
  <si>
    <t>【保存】</t>
  </si>
  <si>
    <t>“现在我接入应急管理、气象监测、无人机巡航以及御洪星四类数据源，并进行接口连接测试。所有数据源均通过授权验证后，才能进入本次采集任务。”</t>
  </si>
  <si>
    <t>第三步：配置数据字段</t>
  </si>
  <si>
    <t>数据采集任务 → 字段映射 → 新增字段</t>
  </si>
  <si>
    <t>建立统一数据字段：</t>
  </si>
  <si>
    <t>字段名称</t>
  </si>
  <si>
    <t>字段编码</t>
  </si>
  <si>
    <t>数据类型</t>
  </si>
  <si>
    <t>来源</t>
  </si>
  <si>
    <t>GRID_ID</t>
  </si>
  <si>
    <t>文本</t>
  </si>
  <si>
    <t>应急管理</t>
  </si>
  <si>
    <t>网格名称</t>
  </si>
  <si>
    <t>GRID_NAME</t>
  </si>
  <si>
    <t>AFFECTED_NUM</t>
  </si>
  <si>
    <t>数值</t>
  </si>
  <si>
    <t>TRAPPED_NUM</t>
  </si>
  <si>
    <t>TRANSFER_NUM</t>
  </si>
  <si>
    <t>SPECIAL_NUM</t>
  </si>
  <si>
    <t>道路中断情况</t>
  </si>
  <si>
    <t>ROAD_STATUS</t>
  </si>
  <si>
    <t>应急管理/无人机</t>
  </si>
  <si>
    <t>累计降雨量</t>
  </si>
  <si>
    <t>RAINFALL</t>
  </si>
  <si>
    <t>气象局</t>
  </si>
  <si>
    <t>实时水位</t>
  </si>
  <si>
    <t>WATER_LEVEL</t>
  </si>
  <si>
    <t>DISTANCE</t>
  </si>
  <si>
    <t>GIS/基础档案</t>
  </si>
  <si>
    <t>DATA_SOURCE</t>
  </si>
  <si>
    <t>系统生成</t>
  </si>
  <si>
    <t>采集时间</t>
  </si>
  <si>
    <t>COLLECT_TIME</t>
  </si>
  <si>
    <t>日期时间</t>
  </si>
  <si>
    <t>设置主键：</t>
  </si>
  <si>
    <t>网格编号 GRID_ID</t>
  </si>
  <si>
    <t>设置唯一性约束：</t>
  </si>
  <si>
    <t>网格编号 + 采集时间</t>
  </si>
  <si>
    <t>【保存字段映射】</t>
  </si>
  <si>
    <t>“为保证不同平台的数据能够统一分析，我建立标准字段模型，把各平台原始数据映射为统一的九网格灾情数据结构。”</t>
  </si>
  <si>
    <t>第四步：配置Python数据采集节点</t>
  </si>
  <si>
    <t>任务流程 → 添加节点 → Python脚本</t>
  </si>
  <si>
    <t>节点名称：</t>
  </si>
  <si>
    <t>多源洪涝数据自动采集</t>
  </si>
  <si>
    <t>输入示例代码：</t>
  </si>
  <si>
    <t>import pandas as pd</t>
  </si>
  <si>
    <t>from datetime import datetime</t>
  </si>
  <si>
    <t># 模拟读取各平台接口数据</t>
  </si>
  <si>
    <t>emergency = pd.read_excel("应急管理局灾情数据.xlsx")</t>
  </si>
  <si>
    <t>weather = pd.read_excel("气象监测数据.xlsx")</t>
  </si>
  <si>
    <t>uav = pd.read_excel("无人机巡航数据.xlsx")</t>
  </si>
  <si>
    <t># 按网格编号合并多源数据</t>
  </si>
  <si>
    <t>data = emergency.merge(</t>
  </si>
  <si>
    <t xml:space="preserve">    weather,</t>
  </si>
  <si>
    <t xml:space="preserve">    on="网格编号",</t>
  </si>
  <si>
    <t xml:space="preserve">    how="left"</t>
  </si>
  <si>
    <t>).merge(</t>
  </si>
  <si>
    <t xml:space="preserve">    uav,</t>
  </si>
  <si>
    <t>)</t>
  </si>
  <si>
    <t># 写入采集时间</t>
  </si>
  <si>
    <t>data["采集时间"] = datetime.now()</t>
  </si>
  <si>
    <t># 标记数据来源</t>
  </si>
  <si>
    <t>data["数据来源"] = "应急管理局+气象局+无人机巡航"</t>
  </si>
  <si>
    <t>print("数据采集完成")</t>
  </si>
  <si>
    <t>print("采集网格数：", data["网格编号"].nunique())</t>
  </si>
  <si>
    <t>print("采集记录数：", len(data))</t>
  </si>
  <si>
    <t>【语法检测】</t>
  </si>
  <si>
    <t>Python代码检测通过</t>
  </si>
  <si>
    <t>【执行】</t>
  </si>
  <si>
    <t>平台显示：</t>
  </si>
  <si>
    <t>应急管理局数据：采集成功</t>
  </si>
  <si>
    <t>气象局数据：采集成功</t>
  </si>
  <si>
    <t>无人机数据：采集成功</t>
  </si>
  <si>
    <t>御洪星数据：同步成功</t>
  </si>
  <si>
    <t>甲1—甲9：9/9完成</t>
  </si>
  <si>
    <t>数据采集任务执行完成</t>
  </si>
  <si>
    <t>“接口配置完成后，我通过Python对不同来源的数据进行自动读取和网格匹配，现在开始执行采集任务。”</t>
  </si>
  <si>
    <t>第五步：进行多维度数据提取</t>
  </si>
  <si>
    <t>数据处理 → 数据提取 → 新建提取规则</t>
  </si>
  <si>
    <t>设置提取维度：</t>
  </si>
  <si>
    <t>人员维度</t>
  </si>
  <si>
    <t>特殊人群人数</t>
  </si>
  <si>
    <t>灾情维度</t>
  </si>
  <si>
    <t>道路中断状态</t>
  </si>
  <si>
    <t>空间维度</t>
  </si>
  <si>
    <t>时间维度</t>
  </si>
  <si>
    <t>数据更新时间</t>
  </si>
  <si>
    <t>【开始提取】</t>
  </si>
  <si>
    <t>数据提取进度：25%</t>
  </si>
  <si>
    <t>数据提取进度：52%</t>
  </si>
  <si>
    <t>数据提取进度：78%</t>
  </si>
  <si>
    <t>此时进行现场口播：</t>
  </si>
  <si>
    <t>“当前数据提取进度已达到78%。”</t>
  </si>
  <si>
    <t>随后显示：</t>
  </si>
  <si>
    <t>100%——数据提取完成</t>
  </si>
  <si>
    <t>第六步：设置数据访问权限</t>
  </si>
  <si>
    <t>数据安全中心 → 数据分级分类</t>
  </si>
  <si>
    <t>将本次数据集：</t>
  </si>
  <si>
    <t>洪涝应急救援九网格数据</t>
  </si>
  <si>
    <t>设置为：</t>
  </si>
  <si>
    <t>数据级别：敏感数据</t>
  </si>
  <si>
    <t>设置访问规则：</t>
  </si>
  <si>
    <t>财务主管统筹岗：查看全部</t>
  </si>
  <si>
    <t>应急预算绩效岗：授权读取、分析</t>
  </si>
  <si>
    <t>采购成本保障岗：授权读取、维护采集任务</t>
  </si>
  <si>
    <t>资金核算风控岗：按业务需要读取</t>
  </si>
  <si>
    <t>数字人御洪星：采集、识别、风险提示</t>
  </si>
  <si>
    <t>非授权用户：禁止访问</t>
  </si>
  <si>
    <t>再勾选：</t>
  </si>
  <si>
    <t>☑ 用户身份认证</t>
  </si>
  <si>
    <t>☑ 数据访问日志</t>
  </si>
  <si>
    <t>☑ 操作留痕</t>
  </si>
  <si>
    <t>☑ 下载权限控制</t>
  </si>
  <si>
    <t>☑ 异常访问预警</t>
  </si>
  <si>
    <t>【启用权限控制】</t>
  </si>
  <si>
    <t>敏感数据访问控制已启用</t>
  </si>
  <si>
    <t>“考虑到灾情数据包含人员和救援信息，我将本数据集划分为敏感数据，采用授权访问，并开启访问日志和操作留痕。”</t>
  </si>
  <si>
    <t>第七步：设置累计降雨量IQR异常监测</t>
  </si>
  <si>
    <t>数据质量 → 异常监测 → 新建监测规则</t>
  </si>
  <si>
    <t>累计降雨量异常波动监测</t>
  </si>
  <si>
    <t>监测字段：</t>
  </si>
  <si>
    <t>监测方法：</t>
  </si>
  <si>
    <t>IQR四分位距法</t>
  </si>
  <si>
    <t>Q1 = 第一四分位数</t>
  </si>
  <si>
    <t>Q3 = 第三四分位数</t>
  </si>
  <si>
    <t>IQR = Q3－Q1</t>
  </si>
  <si>
    <t>设置异常下限：</t>
  </si>
  <si>
    <t>Q1－1.5×IQR</t>
  </si>
  <si>
    <t>设置异常上限：</t>
  </si>
  <si>
    <t>Q3＋1.5×IQR</t>
  </si>
  <si>
    <t>异常处置方式设置为：</t>
  </si>
  <si>
    <t>标记异常 → 不自动删除 → 多源复核</t>
  </si>
  <si>
    <t>复核数据源：</t>
  </si>
  <si>
    <t>气象局监测数据</t>
  </si>
  <si>
    <t>无人机巡航影像</t>
  </si>
  <si>
    <t>异常等级：</t>
  </si>
  <si>
    <t>黄色：统计异常</t>
  </si>
  <si>
    <t>经过多源核验确认为真实极端灾情后：</t>
  </si>
  <si>
    <t>转为红色重点关注，不删除原始数据</t>
  </si>
  <si>
    <t>【启动监测】</t>
  </si>
  <si>
    <t>异常波动监测——运行中</t>
  </si>
  <si>
    <t>“下面配置累计降雨量异常监测。由于本次只有9个网格，我采用IQR四分位距方法识别异常值。需要特别注意，统计异常不等于错误数据，因此系统只进行标记，不直接删除，必须结合气象监测和无人机影像进一步复核。”</t>
  </si>
  <si>
    <t>第八步：设置数据质量规则</t>
  </si>
  <si>
    <t>数据质量 → 质量规则配置</t>
  </si>
  <si>
    <t>一键启动</t>
  </si>
  <si>
    <t>规则1：完整性检查</t>
  </si>
  <si>
    <t>字段设置：</t>
  </si>
  <si>
    <t>出现空值：</t>
  </si>
  <si>
    <t>黄色预警</t>
  </si>
  <si>
    <t>规则2：唯一性检查</t>
  </si>
  <si>
    <t>主键：</t>
  </si>
  <si>
    <t>发现重复：</t>
  </si>
  <si>
    <t>进入待清洗区</t>
  </si>
  <si>
    <t>规则3：及时性检查</t>
  </si>
  <si>
    <t>数据更新时间超过设定时间：</t>
  </si>
  <si>
    <t>触发数据迟报预警</t>
  </si>
  <si>
    <t>规则4：来源一致性检查</t>
  </si>
  <si>
    <t>关键灾情数据至少进行：</t>
  </si>
  <si>
    <t>应急管理数据 + 气象/无人机数据交叉验证</t>
  </si>
  <si>
    <t>【启用质量监测】</t>
  </si>
  <si>
    <t>第九步：运行采集系统</t>
  </si>
  <si>
    <t>洪涝应急救援数据采集任务</t>
  </si>
  <si>
    <t>【运行】</t>
  </si>
  <si>
    <t>数据源连接状态</t>
  </si>
  <si>
    <t>应急管理局　✅ 正常</t>
  </si>
  <si>
    <t>气象局　　　✅ 正常</t>
  </si>
  <si>
    <t>无人机平台　✅ 正常</t>
  </si>
  <si>
    <t>御洪星　　　✅ 正常</t>
  </si>
  <si>
    <t>数据采集状态</t>
  </si>
  <si>
    <t>甲1　✅</t>
  </si>
  <si>
    <t>甲2　✅</t>
  </si>
  <si>
    <t>甲3　✅</t>
  </si>
  <si>
    <t>甲4　✅</t>
  </si>
  <si>
    <t>甲5　✅</t>
  </si>
  <si>
    <t>甲6　✅</t>
  </si>
  <si>
    <t>甲7　✅</t>
  </si>
  <si>
    <t>甲8　✅</t>
  </si>
  <si>
    <t>甲9　✅</t>
  </si>
  <si>
    <t>系统状态</t>
  </si>
  <si>
    <t>采集完成率：100%</t>
  </si>
  <si>
    <t>数据源连接：4/4</t>
  </si>
  <si>
    <t>网格覆盖：9/9</t>
  </si>
  <si>
    <t>安全监测：运行中</t>
  </si>
  <si>
    <t>异常监测：运行中</t>
  </si>
  <si>
    <t>第十步：导出数据源</t>
  </si>
  <si>
    <t>数据管理 → 数据导出</t>
  </si>
  <si>
    <t>《洪涝应急救援九网格原始数据表》</t>
  </si>
  <si>
    <t>导出格式：</t>
  </si>
  <si>
    <t>Excel / CSV</t>
  </si>
  <si>
    <t>勾选：</t>
  </si>
  <si>
    <t>☑ 保留数据来源</t>
  </si>
  <si>
    <t>☑ 保留采集时间</t>
  </si>
  <si>
    <t>☑ 保留异常标记</t>
  </si>
  <si>
    <t>☑ 保留数据版本号</t>
  </si>
  <si>
    <t>【导出】</t>
  </si>
  <si>
    <t>平台提示：</t>
  </si>
  <si>
    <t>数据导出成功</t>
  </si>
  <si>
    <t>并同步至：</t>
  </si>
  <si>
    <t>数据共享中心</t>
  </si>
  <si>
    <t>【采购成本保障岗最终口播】</t>
  </si>
  <si>
    <t>“洪涝应急救援数据采集系统已搭建完成。</t>
  </si>
  <si>
    <t>本次系统已接入应急管理、气象监测、无人机巡航和御洪星等多源数据，通过Python自动完成九网格灾情数据采集与多维提取；同时建立敏感数据授权访问、操作留痕和IQR异常波动监测机制。</t>
  </si>
  <si>
    <t>目前甲1至甲9九个网格数据均已完成采集，现将标准化数据源导出并进入下一步灾情数据清洗。”</t>
  </si>
  <si>
    <t>任务4：救援人员保险方案比较</t>
  </si>
  <si>
    <t>一线救援人员直面山洪、塌方等高风险作业，必须配置合适的保险。</t>
  </si>
  <si>
    <t>我现在对A、B、C三家保险公司分别所报价的保险产品进行比较——</t>
  </si>
  <si>
    <t>保险公司产品报价表</t>
  </si>
  <si>
    <t>对比指标</t>
  </si>
  <si>
    <t>A保险公司</t>
  </si>
  <si>
    <t>B保险公司</t>
  </si>
  <si>
    <t>C保险公司</t>
  </si>
  <si>
    <t>保费</t>
  </si>
  <si>
    <t>200元/人</t>
  </si>
  <si>
    <t>220元/人</t>
  </si>
  <si>
    <t>280元/人</t>
  </si>
  <si>
    <t>意外身故保额</t>
  </si>
  <si>
    <t>50万元</t>
  </si>
  <si>
    <t>100万元</t>
  </si>
  <si>
    <t>120万元</t>
  </si>
  <si>
    <t>意外伤残保额</t>
  </si>
  <si>
    <t>30万元</t>
  </si>
  <si>
    <t>60万元</t>
  </si>
  <si>
    <t>医疗保额</t>
  </si>
  <si>
    <t>2万元</t>
  </si>
  <si>
    <t>5万元</t>
  </si>
  <si>
    <t>8万元</t>
  </si>
  <si>
    <t>免赔额</t>
  </si>
  <si>
    <t>200元</t>
  </si>
  <si>
    <t>100元</t>
  </si>
  <si>
    <t>150元</t>
  </si>
  <si>
    <t>等待期</t>
  </si>
  <si>
    <t>无等待期</t>
  </si>
  <si>
    <t>洪涝救援承保范围</t>
  </si>
  <si>
    <t>属于承保范围</t>
  </si>
  <si>
    <t>明确属于承保范围</t>
  </si>
  <si>
    <t>属于承保范围，需附补充协议</t>
  </si>
  <si>
    <t>理赔资料要求</t>
  </si>
  <si>
    <t>常规资料</t>
  </si>
  <si>
    <t>含出勤记录</t>
  </si>
  <si>
    <t>资料要求较全</t>
  </si>
  <si>
    <t>赔付时效</t>
  </si>
  <si>
    <t>15天</t>
  </si>
  <si>
    <t>7天</t>
  </si>
  <si>
    <t>10天</t>
  </si>
  <si>
    <t>建立保险产品比较表，</t>
  </si>
  <si>
    <t>指标权重：保费20%、身故保额20%、伤残保额10%、医疗15%、免赔额10%、等待期10%、承保范围10%、赔付时效5%。</t>
  </si>
  <si>
    <t xml:space="preserve"> </t>
  </si>
  <si>
    <t>承保情况</t>
  </si>
  <si>
    <t>标准分</t>
  </si>
  <si>
    <t>明确承保，无附加条件</t>
  </si>
  <si>
    <t>一般条款包含洪涝救援</t>
  </si>
  <si>
    <t>需要补充协议或附加条件</t>
  </si>
  <si>
    <t>条款表述不明确，需保险公司确认</t>
  </si>
  <si>
    <t>明确不承保</t>
  </si>
  <si>
    <t>成本型指标标准分=（最大值－本方案值）/（最大值－最小值）*100。</t>
  </si>
  <si>
    <t>适用于身故保额、伤残保额、医疗保额等效益型指标（数值越高越优）：</t>
  </si>
  <si>
    <t>效益型指标标准分=（本方案值－最小值）/（最大值－最小值）*100。</t>
  </si>
  <si>
    <t>下载“保险方案综合评分计算表”</t>
  </si>
  <si>
    <t>弄到平台，学生可以下载</t>
  </si>
  <si>
    <t>方案选择</t>
  </si>
  <si>
    <t>项目</t>
  </si>
  <si>
    <t>结果</t>
  </si>
  <si>
    <t>综合得分最高方案</t>
  </si>
  <si>
    <t>最高综合得分</t>
  </si>
  <si>
    <t>总保费（元）</t>
  </si>
  <si>
    <t>支付资金来源</t>
  </si>
  <si>
    <t>结论</t>
  </si>
  <si>
    <t>新增物资分析</t>
  </si>
  <si>
    <t>信息项目</t>
  </si>
  <si>
    <t>当前情况</t>
  </si>
  <si>
    <t>处置建议</t>
  </si>
  <si>
    <t>追加采购物资</t>
  </si>
  <si>
    <t>帐篷</t>
  </si>
  <si>
    <t>需追加采购</t>
  </si>
  <si>
    <t>重点保障网格</t>
  </si>
  <si>
    <t>甲3、甲6</t>
  </si>
  <si>
    <t>优先保障</t>
  </si>
  <si>
    <t>需求变化原因</t>
  </si>
  <si>
    <t>甲3、甲6转移安置人数增加</t>
  </si>
  <si>
    <t>原有帐篷保障量不足，形成新增采购需求</t>
  </si>
  <si>
    <t>市场供应能力</t>
  </si>
  <si>
    <t>当前市场供应能力充足</t>
  </si>
  <si>
    <t>具备追加采购条件</t>
  </si>
  <si>
    <t>当前价格风险</t>
  </si>
  <si>
    <r>
      <rPr>
        <sz val="11"/>
        <color theme="1"/>
        <rFont val="宋体"/>
        <charset val="134"/>
        <scheme val="minor"/>
      </rPr>
      <t xml:space="preserve">市场价格预计上涨 </t>
    </r>
    <r>
      <rPr>
        <b/>
        <sz val="11"/>
        <color theme="1"/>
        <rFont val="宋体"/>
        <charset val="134"/>
        <scheme val="minor"/>
      </rPr>
      <t>5%—8%</t>
    </r>
  </si>
  <si>
    <t>存在短期涨价风险</t>
  </si>
  <si>
    <t>采购紧迫程度</t>
  </si>
  <si>
    <t>较高</t>
  </si>
  <si>
    <t>建议尽快启动询价、锁定供应量和价格</t>
  </si>
  <si>
    <t>采购控制原则</t>
  </si>
  <si>
    <t>在C方案预算控制范围内执行</t>
  </si>
  <si>
    <t>不得突破批准预算上限</t>
  </si>
  <si>
    <t>建议措施</t>
  </si>
  <si>
    <t>启动帐篷追加采购</t>
  </si>
  <si>
    <t>尽快锁价、锁量、锁定交付时间</t>
  </si>
  <si>
    <t>风险状态</t>
  </si>
  <si>
    <t>🟡 价格上涨预警</t>
  </si>
  <si>
    <t>加快采购决策，防止采购成本进一步增加</t>
  </si>
  <si>
    <t>三个状态卡：</t>
  </si>
  <si>
    <t>重点物资：帐篷</t>
  </si>
  <si>
    <t>重点网格：甲3、甲6</t>
  </si>
  <si>
    <t>价格预警：预计上涨5%—8%</t>
  </si>
  <si>
    <t>底部显示：</t>
  </si>
  <si>
    <t>市场供应能力充足，但存在5%—8%的短期价格上涨风险，建议立即启动追加采购询价，优先锁定甲3、甲6帐篷供应数量、采购价格及交付时限。</t>
  </si>
  <si>
    <t>任务5：将灾情数据转换为成本动因</t>
  </si>
  <si>
    <t>现进行成本动因转换。把灾情转化为预算计算参数。</t>
  </si>
  <si>
    <t>核心公式：</t>
  </si>
  <si>
    <t>转移安置人数*预计安置天数=安置人天</t>
  </si>
  <si>
    <t>安置人天*每人每日食品标准=食品预算</t>
  </si>
  <si>
    <t>安置人天*每人每日饮水标准=饮水预算</t>
  </si>
  <si>
    <t>帐篷需求量*帐篷预算单价=帐篷预算</t>
  </si>
  <si>
    <t>运输距离*车辆数量*单位公里成本=运输预算</t>
  </si>
  <si>
    <t>救援人员数量*保险单价=保险预算</t>
  </si>
  <si>
    <t>设备数量*预计使用台时*单位台时成本=设备预算</t>
  </si>
  <si>
    <t>历史采购价</t>
  </si>
  <si>
    <t>食品标准：25元/人天</t>
  </si>
  <si>
    <t>饮水标准：8元/人天</t>
  </si>
  <si>
    <t>帐篷单价：850元/顶（4人一顶）</t>
  </si>
  <si>
    <t>棉被单价：65元/床</t>
  </si>
  <si>
    <t>特殊人群保障：120元/人</t>
  </si>
  <si>
    <t>运输成本：8.5元/公里·辆</t>
  </si>
  <si>
    <t>每网格配车：2辆</t>
  </si>
  <si>
    <t>救援人员：50人</t>
  </si>
  <si>
    <t>保险单价：220元/人</t>
  </si>
  <si>
    <t>冲锋舟：3500元/艘*5艘</t>
  </si>
  <si>
    <t>急救包：180元/套*200套</t>
  </si>
  <si>
    <t>救生衣：75元/件*300件</t>
  </si>
  <si>
    <t>C方案转为可执行物资预算时，饮用水按历史整箱预算标准24元/箱、食品按80元/箱测算；25元/人天和8元/人天用于灾情情景快速估算，后续采购执行再按净需求量和实际询价形成预算占用与差异。</t>
  </si>
  <si>
    <t>下载“灾情数据转换为成本动因计算表”</t>
  </si>
  <si>
    <t>点击导入</t>
  </si>
  <si>
    <t>点完平台呈现效果</t>
  </si>
  <si>
    <t>预算需求2729906元，保险11000元和设备76000元，总预算需求2816906元。</t>
  </si>
  <si>
    <t>任务6：编制A、B、C三受灾等级预算</t>
  </si>
  <si>
    <t>现根据受灾等级编制轻度、中度、重度灾害所需要的预算金额。</t>
  </si>
  <si>
    <t>打开ABC三受灾等级预算计算表</t>
  </si>
  <si>
    <t>测算结果同步导入</t>
  </si>
  <si>
    <t>ABC三方案预算</t>
  </si>
  <si>
    <t>指标</t>
  </si>
  <si>
    <t>A方案</t>
  </si>
  <si>
    <t>C方案</t>
  </si>
  <si>
    <t>总预算（元）</t>
  </si>
  <si>
    <t>随灾情等级提升逐级增加</t>
  </si>
  <si>
    <t>安置期（天）</t>
  </si>
  <si>
    <t>C方案延长至5天</t>
  </si>
  <si>
    <t>覆盖人数（人）</t>
  </si>
  <si>
    <t>C方案覆盖8100人</t>
  </si>
  <si>
    <t>单位受益成本（元/人）</t>
  </si>
  <si>
    <t>保障强度提升</t>
  </si>
  <si>
    <t>适用灾情</t>
  </si>
  <si>
    <r>
      <rPr>
        <sz val="11"/>
        <color rgb="FF000000"/>
        <rFont val="Carlito"/>
        <charset val="134"/>
      </rPr>
      <t>IV</t>
    </r>
    <r>
      <rPr>
        <sz val="11"/>
        <color rgb="FF000000"/>
        <rFont val="宋体"/>
        <charset val="134"/>
      </rPr>
      <t>级轻度</t>
    </r>
  </si>
  <si>
    <t>III级中度</t>
  </si>
  <si>
    <t>II级及以上重度</t>
  </si>
  <si>
    <t>按内部预算响应规则选用</t>
  </si>
  <si>
    <t>任务8：第一次突发事件——受灾人数突然增加</t>
  </si>
  <si>
    <t>第一步：导入新增灾情数据。</t>
  </si>
  <si>
    <r>
      <rPr>
        <sz val="11"/>
        <color theme="1"/>
        <rFont val="宋体"/>
        <charset val="134"/>
        <scheme val="minor"/>
      </rPr>
      <t>进入：</t>
    </r>
    <r>
      <rPr>
        <b/>
        <sz val="11"/>
        <color theme="1"/>
        <rFont val="宋体"/>
        <charset val="134"/>
        <scheme val="minor"/>
      </rPr>
      <t>应急财务平台 → 灾情数据中心 → 动态灾情更新 → 导入二次报送数据</t>
    </r>
    <r>
      <rPr>
        <sz val="11"/>
        <color theme="1"/>
        <rFont val="宋体"/>
        <charset val="134"/>
        <scheme val="minor"/>
      </rPr>
      <t>。</t>
    </r>
  </si>
  <si>
    <t>选择数据批次“灾后第一次动态更新”，数据来源勾选“应急管理局二次报送、无人机二次巡航”。</t>
  </si>
  <si>
    <t>点击导入甲3、甲6更新数据：</t>
  </si>
  <si>
    <t>二次灾情数据更新</t>
  </si>
  <si>
    <t>网格</t>
  </si>
  <si>
    <t>原值</t>
  </si>
  <si>
    <t>新值</t>
  </si>
  <si>
    <t>增量</t>
  </si>
  <si>
    <t>甲3</t>
  </si>
  <si>
    <t>死亡和失踪</t>
  </si>
  <si>
    <t>甲6</t>
  </si>
  <si>
    <t>第二步：校验数据来源和时间。</t>
  </si>
  <si>
    <t>新增数据来自应急管理局二次报送和无人机二次巡航，时间戳一致，来源合规。</t>
  </si>
  <si>
    <r>
      <rPr>
        <sz val="11"/>
        <color theme="1"/>
        <rFont val="宋体"/>
        <charset val="134"/>
        <scheme val="minor"/>
      </rPr>
      <t>进入：</t>
    </r>
    <r>
      <rPr>
        <b/>
        <sz val="11"/>
        <color theme="1"/>
        <rFont val="宋体"/>
        <charset val="134"/>
        <scheme val="minor"/>
      </rPr>
      <t>数据质量 → 动态数据校验</t>
    </r>
    <r>
      <rPr>
        <sz val="11"/>
        <color theme="1"/>
        <rFont val="宋体"/>
        <charset val="134"/>
        <scheme val="minor"/>
      </rPr>
      <t>。</t>
    </r>
  </si>
  <si>
    <t>系统自动核验“来源授权、网格编号、时间戳、原始记录、无人机巡航匹配”。</t>
  </si>
  <si>
    <t>系统结果显示：来源一致、时间戳一致、甲3/甲6数据复核通过。</t>
  </si>
  <si>
    <t>点击 【确认有效】。</t>
  </si>
  <si>
    <t>这里可以口播：“新增灾情数据来自应急管理局二次报送和无人机二次巡航，时间戳一致，数据通过复核。”</t>
  </si>
  <si>
    <t>第三步：更新驾驶舱。</t>
  </si>
  <si>
    <t>点击更新九网格BI驾驶舱。</t>
  </si>
  <si>
    <t>出现图片</t>
  </si>
  <si>
    <t>图片待补充先放空</t>
  </si>
  <si>
    <t>第四步：方案匹配</t>
  </si>
  <si>
    <t>进入：响应管理 → 响应等级与预算方案映射。</t>
  </si>
  <si>
    <t>系统显示：原响应等级 III级 → B方案；最新响应等级 II级 → C方案。</t>
  </si>
  <si>
    <t>点击 【重新匹配方案】，系统加载C方案参数。</t>
  </si>
  <si>
    <t>第五步：参数修改</t>
  </si>
  <si>
    <r>
      <rPr>
        <sz val="11"/>
        <color theme="1"/>
        <rFont val="宋体"/>
        <charset val="134"/>
        <scheme val="minor"/>
      </rPr>
      <t>进入：</t>
    </r>
    <r>
      <rPr>
        <b/>
        <sz val="11"/>
        <color theme="1"/>
        <rFont val="宋体"/>
        <charset val="134"/>
        <scheme val="minor"/>
      </rPr>
      <t>预算模型 → 成本动因参数 → 参数调整</t>
    </r>
    <r>
      <rPr>
        <sz val="11"/>
        <color theme="1"/>
        <rFont val="宋体"/>
        <charset val="134"/>
        <scheme val="minor"/>
      </rPr>
      <t>。</t>
    </r>
  </si>
  <si>
    <t>将“预计安置天数”由 3天调整为5天；</t>
  </si>
  <si>
    <t>转移安置人数由 7000更新为8100；</t>
  </si>
  <si>
    <t>道路中断网格由 3个更新为5个；</t>
  </si>
  <si>
    <t>甲3转移安置人数由1500改为2100，甲6由1200改为1700。</t>
  </si>
  <si>
    <t>点击 【保存参数并重新测算】。</t>
  </si>
  <si>
    <t>重新计算食品、饮水、帐篷、运输等预算。</t>
  </si>
  <si>
    <t>系统根据已设置参数自动计算</t>
  </si>
  <si>
    <t>甲3：安置人天=2100×5=10500人天；食品预算=2100×5×25=262500元；原食品预算=1500×3×25=112500元；新增食品预算=262500-112500=150000元。</t>
  </si>
  <si>
    <t>甲6：安置人天=1700×5=8500人天；食品预算=1700×5×25=212500元；原食品预算=1200×3×25=90000元；新增食品预算=212500-90000=122500元。</t>
  </si>
  <si>
    <t>同时自动重新计算饮水、临时安置、帐篷、运输、设备连续运行和特殊人群保障。</t>
  </si>
  <si>
    <t>点击 【运行预算模型】。</t>
  </si>
  <si>
    <t xml:space="preserve">    第六步：分析预算增加主要原因。</t>
  </si>
  <si>
    <t>安置期延长（3→5天）贡献约67%增量，受灾人数增加贡献约28%增量，道路绕行贡献约5%增量。</t>
  </si>
  <si>
    <t>第七步：计算新增资金缺口。</t>
  </si>
  <si>
    <t>短期资金缺口：258517.50元</t>
  </si>
  <si>
    <t>资金韧性测算——</t>
  </si>
  <si>
    <t>可用资金覆盖率：4020000/4278517.50*100%=93.96%</t>
  </si>
  <si>
    <t>应急缓冲率：376000/4278517.50*100%=8.79%</t>
  </si>
  <si>
    <t>资金状态汇总</t>
  </si>
  <si>
    <t>更新结果</t>
  </si>
  <si>
    <t>政府财政资金计划总额</t>
  </si>
  <si>
    <t>4,020,000元</t>
  </si>
  <si>
    <t>灾后0.5h已到账</t>
  </si>
  <si>
    <t>G03本次补充到账</t>
  </si>
  <si>
    <t>360,000元</t>
  </si>
  <si>
    <t>灾后0.8h累计到账</t>
  </si>
  <si>
    <t>财政资金到位率</t>
  </si>
  <si>
    <t>财政资金状态</t>
  </si>
  <si>
    <t>全部到位，可用于符合规定的救灾支出</t>
  </si>
  <si>
    <t>限定性捐赠控制原则</t>
  </si>
  <si>
    <t>严格按照捐赠协议用途执行，不得用于不匹配支出</t>
  </si>
  <si>
    <t>状态卡：</t>
  </si>
  <si>
    <t>政府财政资金：402万元｜到位率100%｜🟢 全部到位</t>
  </si>
  <si>
    <t>限定性捐赠：用途受限｜🟡 按协议匹配使用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</si>
</sst>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;[Red]\(#,##0.00\);\-"/>
    <numFmt numFmtId="177" formatCode="#,##0;[Red]\(#,##0\);\-"/>
  </numFmts>
  <fonts count="40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sz val="14"/>
      <color rgb="FF000000"/>
      <name val="宋体"/>
      <charset val="134"/>
    </font>
    <font>
      <b/>
      <sz val="14"/>
      <color rgb="FFFF0000"/>
      <name val="宋体"/>
      <charset val="134"/>
    </font>
    <font>
      <b/>
      <sz val="11"/>
      <color rgb="FFFF0000"/>
      <name val="宋体"/>
      <charset val="134"/>
      <scheme val="minor"/>
    </font>
    <font>
      <b/>
      <sz val="14"/>
      <color theme="1"/>
      <name val="宋体"/>
      <charset val="134"/>
    </font>
    <font>
      <b/>
      <sz val="11"/>
      <color rgb="FF17365D"/>
      <name val="Carlito"/>
      <charset val="134"/>
    </font>
    <font>
      <sz val="11"/>
      <color rgb="FF000000"/>
      <name val="Carlito"/>
      <charset val="134"/>
    </font>
    <font>
      <sz val="11"/>
      <color rgb="FF000000"/>
      <name val="宋体"/>
      <charset val="134"/>
    </font>
    <font>
      <b/>
      <sz val="14.05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24"/>
      <color theme="1"/>
      <name val="宋体"/>
      <charset val="134"/>
      <scheme val="minor"/>
    </font>
    <font>
      <sz val="10"/>
      <color theme="1"/>
      <name val="Arial Unicode MS"/>
      <charset val="134"/>
    </font>
    <font>
      <b/>
      <sz val="18"/>
      <color rgb="FFFF0000"/>
      <name val="宋体"/>
      <charset val="134"/>
      <scheme val="minor"/>
    </font>
    <font>
      <sz val="14"/>
      <color theme="1"/>
      <name val="宋体"/>
      <charset val="134"/>
    </font>
    <font>
      <b/>
      <sz val="11"/>
      <color rgb="FFFFFFFF"/>
      <name val="宋体"/>
      <charset val="134"/>
    </font>
    <font>
      <b/>
      <sz val="11"/>
      <color rgb="FFFFFFFF"/>
      <name val="Carlito"/>
      <charset val="134"/>
    </font>
    <font>
      <b/>
      <sz val="20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Carlito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0" fillId="0" borderId="0">
      <alignment vertical="center"/>
    </xf>
    <xf numFmtId="0" fontId="21" fillId="0" borderId="0">
      <alignment vertical="center"/>
    </xf>
    <xf numFmtId="0" fontId="0" fillId="6" borderId="2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5" fillId="0" borderId="3">
      <alignment vertical="center"/>
    </xf>
    <xf numFmtId="0" fontId="26" fillId="0" borderId="3">
      <alignment vertical="center"/>
    </xf>
    <xf numFmtId="0" fontId="27" fillId="0" borderId="4">
      <alignment vertical="center"/>
    </xf>
    <xf numFmtId="0" fontId="27" fillId="0" borderId="0">
      <alignment vertical="center"/>
    </xf>
    <xf numFmtId="0" fontId="28" fillId="7" borderId="5">
      <alignment vertical="center"/>
    </xf>
    <xf numFmtId="0" fontId="29" fillId="8" borderId="6">
      <alignment vertical="center"/>
    </xf>
    <xf numFmtId="0" fontId="30" fillId="8" borderId="5">
      <alignment vertical="center"/>
    </xf>
    <xf numFmtId="0" fontId="31" fillId="9" borderId="7">
      <alignment vertical="center"/>
    </xf>
    <xf numFmtId="0" fontId="32" fillId="0" borderId="8">
      <alignment vertical="center"/>
    </xf>
    <xf numFmtId="0" fontId="33" fillId="0" borderId="9">
      <alignment vertical="center"/>
    </xf>
    <xf numFmtId="0" fontId="34" fillId="10" borderId="0">
      <alignment vertical="center"/>
    </xf>
    <xf numFmtId="0" fontId="35" fillId="11" borderId="0">
      <alignment vertical="center"/>
    </xf>
    <xf numFmtId="0" fontId="36" fillId="12" borderId="0">
      <alignment vertical="center"/>
    </xf>
    <xf numFmtId="0" fontId="37" fillId="13" borderId="0">
      <alignment vertical="center"/>
    </xf>
    <xf numFmtId="0" fontId="38" fillId="14" borderId="0">
      <alignment vertical="center"/>
    </xf>
    <xf numFmtId="0" fontId="38" fillId="15" borderId="0">
      <alignment vertical="center"/>
    </xf>
    <xf numFmtId="0" fontId="37" fillId="16" borderId="0">
      <alignment vertical="center"/>
    </xf>
    <xf numFmtId="0" fontId="37" fillId="17" borderId="0">
      <alignment vertical="center"/>
    </xf>
    <xf numFmtId="0" fontId="38" fillId="18" borderId="0">
      <alignment vertical="center"/>
    </xf>
    <xf numFmtId="0" fontId="38" fillId="19" borderId="0">
      <alignment vertical="center"/>
    </xf>
    <xf numFmtId="0" fontId="37" fillId="20" borderId="0">
      <alignment vertical="center"/>
    </xf>
    <xf numFmtId="0" fontId="37" fillId="21" borderId="0">
      <alignment vertical="center"/>
    </xf>
    <xf numFmtId="0" fontId="38" fillId="22" borderId="0">
      <alignment vertical="center"/>
    </xf>
    <xf numFmtId="0" fontId="38" fillId="23" borderId="0">
      <alignment vertical="center"/>
    </xf>
    <xf numFmtId="0" fontId="37" fillId="24" borderId="0">
      <alignment vertical="center"/>
    </xf>
    <xf numFmtId="0" fontId="37" fillId="25" borderId="0">
      <alignment vertical="center"/>
    </xf>
    <xf numFmtId="0" fontId="38" fillId="26" borderId="0">
      <alignment vertical="center"/>
    </xf>
    <xf numFmtId="0" fontId="38" fillId="27" borderId="0">
      <alignment vertical="center"/>
    </xf>
    <xf numFmtId="0" fontId="37" fillId="28" borderId="0">
      <alignment vertical="center"/>
    </xf>
    <xf numFmtId="0" fontId="37" fillId="29" borderId="0">
      <alignment vertical="center"/>
    </xf>
    <xf numFmtId="0" fontId="38" fillId="30" borderId="0">
      <alignment vertical="center"/>
    </xf>
    <xf numFmtId="0" fontId="38" fillId="31" borderId="0">
      <alignment vertical="center"/>
    </xf>
    <xf numFmtId="0" fontId="37" fillId="32" borderId="0">
      <alignment vertical="center"/>
    </xf>
    <xf numFmtId="0" fontId="37" fillId="33" borderId="0">
      <alignment vertical="center"/>
    </xf>
    <xf numFmtId="0" fontId="38" fillId="34" borderId="0">
      <alignment vertical="center"/>
    </xf>
    <xf numFmtId="0" fontId="38" fillId="35" borderId="0">
      <alignment vertical="center"/>
    </xf>
    <xf numFmtId="0" fontId="37" fillId="36" borderId="0">
      <alignment vertical="center"/>
    </xf>
    <xf numFmtId="0" fontId="39" fillId="0" borderId="0"/>
  </cellStyleXfs>
  <cellXfs count="57">
    <xf numFmtId="0" fontId="0" fillId="0" borderId="0" xfId="0" applyAlignment="1">
      <alignment vertical="center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 wrapText="1"/>
    </xf>
    <xf numFmtId="0" fontId="0" fillId="0" borderId="0" xfId="0">
      <alignment vertical="center"/>
    </xf>
    <xf numFmtId="0" fontId="0" fillId="2" borderId="0" xfId="0" applyFill="1" applyAlignment="1">
      <alignment vertical="center"/>
    </xf>
    <xf numFmtId="0" fontId="3" fillId="0" borderId="0" xfId="0" applyFont="1" applyAlignment="1">
      <alignment horizontal="left" vertical="center" indent="2"/>
    </xf>
    <xf numFmtId="0" fontId="4" fillId="0" borderId="0" xfId="0" applyFont="1" applyAlignment="1">
      <alignment horizontal="left" vertical="center" indent="2"/>
    </xf>
    <xf numFmtId="0" fontId="5" fillId="0" borderId="0" xfId="0" applyFont="1" applyAlignment="1">
      <alignment horizontal="left" vertical="center" indent="2"/>
    </xf>
    <xf numFmtId="0" fontId="6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7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8" fillId="3" borderId="1" xfId="49" applyNumberFormat="1" applyFont="1" applyFill="1" applyBorder="1" applyAlignment="1">
      <alignment horizontal="center" vertical="center" wrapText="1"/>
    </xf>
    <xf numFmtId="0" fontId="9" fillId="0" borderId="1" xfId="49" applyNumberFormat="1" applyFont="1" applyFill="1" applyBorder="1" applyAlignment="1">
      <alignment horizontal="center" vertical="center" wrapText="1"/>
    </xf>
    <xf numFmtId="176" fontId="9" fillId="0" borderId="1" xfId="49" applyNumberFormat="1" applyFont="1" applyFill="1" applyBorder="1" applyAlignment="1">
      <alignment horizontal="center" vertical="center" wrapText="1"/>
    </xf>
    <xf numFmtId="177" fontId="9" fillId="0" borderId="1" xfId="49" applyNumberFormat="1" applyFont="1" applyFill="1" applyBorder="1" applyAlignment="1">
      <alignment horizontal="center" vertical="center" wrapText="1"/>
    </xf>
    <xf numFmtId="2" fontId="9" fillId="0" borderId="1" xfId="49" applyNumberFormat="1" applyFont="1" applyFill="1" applyBorder="1" applyAlignment="1">
      <alignment horizontal="center" vertical="center" wrapText="1"/>
    </xf>
    <xf numFmtId="0" fontId="10" fillId="0" borderId="1" xfId="49" applyNumberFormat="1" applyFont="1" applyFill="1" applyBorder="1" applyAlignment="1">
      <alignment horizontal="center" vertical="center" wrapText="1"/>
    </xf>
    <xf numFmtId="0" fontId="0" fillId="0" borderId="0" xfId="0" applyFont="1">
      <alignment vertical="center"/>
    </xf>
    <xf numFmtId="0" fontId="3" fillId="0" borderId="0" xfId="0" applyFont="1">
      <alignment vertical="center"/>
    </xf>
    <xf numFmtId="0" fontId="11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0" fillId="0" borderId="0" xfId="0" applyAlignment="1">
      <alignment vertical="center" wrapText="1"/>
    </xf>
    <xf numFmtId="0" fontId="14" fillId="0" borderId="0" xfId="0" applyFont="1">
      <alignment vertical="center"/>
    </xf>
    <xf numFmtId="0" fontId="13" fillId="2" borderId="0" xfId="0" applyFont="1" applyFill="1">
      <alignment vertical="center"/>
    </xf>
    <xf numFmtId="0" fontId="15" fillId="0" borderId="0" xfId="0" applyFont="1" applyAlignment="1">
      <alignment vertical="center"/>
    </xf>
    <xf numFmtId="0" fontId="0" fillId="2" borderId="0" xfId="0" applyFill="1">
      <alignment vertical="center"/>
    </xf>
    <xf numFmtId="0" fontId="2" fillId="2" borderId="0" xfId="0" applyFont="1" applyFill="1">
      <alignment vertical="center"/>
    </xf>
    <xf numFmtId="0" fontId="15" fillId="2" borderId="0" xfId="0" applyFont="1" applyFill="1">
      <alignment vertical="center"/>
    </xf>
    <xf numFmtId="0" fontId="11" fillId="2" borderId="0" xfId="0" applyFont="1" applyFill="1">
      <alignment vertical="center"/>
    </xf>
    <xf numFmtId="0" fontId="0" fillId="2" borderId="0" xfId="0" applyFill="1" applyAlignment="1">
      <alignment horizontal="left" vertical="center" indent="1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6" fillId="0" borderId="0" xfId="0" applyFont="1" applyAlignment="1">
      <alignment horizontal="left" vertical="center" indent="2"/>
    </xf>
    <xf numFmtId="0" fontId="17" fillId="4" borderId="1" xfId="49" applyNumberFormat="1" applyFont="1" applyFill="1" applyBorder="1" applyAlignment="1">
      <alignment horizontal="center" vertical="center"/>
    </xf>
    <xf numFmtId="0" fontId="18" fillId="4" borderId="1" xfId="49" applyNumberFormat="1" applyFont="1" applyFill="1" applyBorder="1" applyAlignment="1">
      <alignment horizontal="center" vertical="center"/>
    </xf>
    <xf numFmtId="0" fontId="8" fillId="3" borderId="0" xfId="49" applyNumberFormat="1" applyFont="1" applyFill="1" applyAlignment="1">
      <alignment horizontal="center" vertical="center"/>
    </xf>
    <xf numFmtId="0" fontId="8" fillId="3" borderId="0" xfId="49" applyNumberFormat="1" applyFont="1" applyFill="1" applyBorder="1" applyAlignment="1">
      <alignment horizontal="center" vertical="center"/>
    </xf>
    <xf numFmtId="0" fontId="9" fillId="0" borderId="1" xfId="49" applyNumberFormat="1" applyFont="1" applyFill="1" applyBorder="1" applyAlignment="1">
      <alignment horizontal="center" vertical="center"/>
    </xf>
    <xf numFmtId="0" fontId="9" fillId="5" borderId="1" xfId="49" applyNumberFormat="1" applyFont="1" applyFill="1" applyBorder="1" applyAlignment="1">
      <alignment horizontal="center" vertical="center"/>
    </xf>
    <xf numFmtId="176" fontId="9" fillId="5" borderId="1" xfId="49" applyNumberFormat="1" applyFont="1" applyFill="1" applyBorder="1" applyAlignment="1">
      <alignment horizontal="center" vertical="center"/>
    </xf>
    <xf numFmtId="0" fontId="10" fillId="0" borderId="1" xfId="49" applyNumberFormat="1" applyFont="1" applyFill="1" applyBorder="1" applyAlignment="1">
      <alignment horizontal="center" vertical="center"/>
    </xf>
    <xf numFmtId="0" fontId="9" fillId="5" borderId="1" xfId="49" applyNumberFormat="1" applyFont="1" applyFill="1" applyBorder="1" applyAlignment="1">
      <alignment horizontal="left" vertical="center" wrapText="1"/>
    </xf>
    <xf numFmtId="0" fontId="19" fillId="0" borderId="0" xfId="0" applyFo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预算成本构成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"预算金额（元）"</c:f>
              <c:strCache>
                <c:ptCount val="1"/>
                <c:pt idx="0">
                  <c:v>预算金额（元）</c:v>
                </c:pt>
              </c:strCache>
            </c:strRef>
          </c:tx>
          <c:invertIfNegative val="0"/>
          <c:dLbls>
            <c:delete val="1"/>
          </c:dLbls>
          <c:cat>
            <c:strRef>
              <c:f>[2]成本动因转换!$A$48:$A$55</c:f>
              <c:strCache>
                <c:ptCount val="8"/>
                <c:pt idx="0">
                  <c:v>食品</c:v>
                </c:pt>
                <c:pt idx="1">
                  <c:v>饮水</c:v>
                </c:pt>
                <c:pt idx="2">
                  <c:v>帐篷</c:v>
                </c:pt>
                <c:pt idx="3">
                  <c:v>棉被</c:v>
                </c:pt>
                <c:pt idx="4">
                  <c:v>特殊人群保障</c:v>
                </c:pt>
                <c:pt idx="5">
                  <c:v>运输</c:v>
                </c:pt>
                <c:pt idx="6">
                  <c:v>保险</c:v>
                </c:pt>
                <c:pt idx="7">
                  <c:v>设备</c:v>
                </c:pt>
              </c:strCache>
            </c:strRef>
          </c:cat>
          <c:val>
            <c:numRef>
              <c:f>[2]成本动因转换!$B$48:$B$55</c:f>
              <c:numCache>
                <c:formatCode>General</c:formatCode>
                <c:ptCount val="8"/>
                <c:pt idx="0">
                  <c:v>525000</c:v>
                </c:pt>
                <c:pt idx="1">
                  <c:v>168000</c:v>
                </c:pt>
                <c:pt idx="2">
                  <c:v>1487500</c:v>
                </c:pt>
                <c:pt idx="3">
                  <c:v>455260</c:v>
                </c:pt>
                <c:pt idx="4">
                  <c:v>89640</c:v>
                </c:pt>
                <c:pt idx="5">
                  <c:v>4505.9999999998</c:v>
                </c:pt>
                <c:pt idx="6">
                  <c:v>11000</c:v>
                </c:pt>
                <c:pt idx="7">
                  <c:v>76000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a4be43bf-049d-4bd3-a808-cf80b2dbe2e7}"/>
      </c:ext>
    </c:extLst>
  </c:chart>
  <c:spPr>
    <a:ln w="9525" cap="flat" cmpd="sng" algn="ctr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externalData r:id="rId1">
    <c:autoUpdate val="0"/>
  </c:externalData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476250</xdr:colOff>
      <xdr:row>144</xdr:row>
      <xdr:rowOff>121920</xdr:rowOff>
    </xdr:from>
    <xdr:to>
      <xdr:col>19</xdr:col>
      <xdr:colOff>590550</xdr:colOff>
      <xdr:row>167</xdr:row>
      <xdr:rowOff>106680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619500" y="25947370"/>
          <a:ext cx="8915400" cy="4074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234315</xdr:colOff>
      <xdr:row>461</xdr:row>
      <xdr:rowOff>132080</xdr:rowOff>
    </xdr:from>
    <xdr:to>
      <xdr:col>20</xdr:col>
      <xdr:colOff>517525</xdr:colOff>
      <xdr:row>481</xdr:row>
      <xdr:rowOff>136525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634865" y="82891630"/>
          <a:ext cx="8455660" cy="36048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542925</xdr:colOff>
      <xdr:row>637</xdr:row>
      <xdr:rowOff>57150</xdr:rowOff>
    </xdr:from>
    <xdr:to>
      <xdr:col>2</xdr:col>
      <xdr:colOff>1504950</xdr:colOff>
      <xdr:row>642</xdr:row>
      <xdr:rowOff>142875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70785" y="117856000"/>
          <a:ext cx="962025" cy="9747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295275</xdr:colOff>
      <xdr:row>28</xdr:row>
      <xdr:rowOff>142875</xdr:rowOff>
    </xdr:from>
    <xdr:to>
      <xdr:col>5</xdr:col>
      <xdr:colOff>12700</xdr:colOff>
      <xdr:row>33</xdr:row>
      <xdr:rowOff>28575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432175" y="6321425"/>
          <a:ext cx="657225" cy="908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391160</xdr:colOff>
      <xdr:row>37</xdr:row>
      <xdr:rowOff>161925</xdr:rowOff>
    </xdr:from>
    <xdr:to>
      <xdr:col>14</xdr:col>
      <xdr:colOff>153035</xdr:colOff>
      <xdr:row>55</xdr:row>
      <xdr:rowOff>25400</xdr:rowOff>
    </xdr:to>
    <xdr:graphicFrame>
      <xdr:nvGraphicFramePr>
        <xdr:cNvPr id="4" name="Chart"/>
        <xdr:cNvGraphicFramePr/>
      </xdr:nvGraphicFramePr>
      <xdr:xfrm>
        <a:off x="391160" y="8251825"/>
        <a:ext cx="9496425" cy="33750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504825</xdr:colOff>
      <xdr:row>34</xdr:row>
      <xdr:rowOff>152400</xdr:rowOff>
    </xdr:from>
    <xdr:to>
      <xdr:col>10</xdr:col>
      <xdr:colOff>657225</xdr:colOff>
      <xdr:row>34</xdr:row>
      <xdr:rowOff>171450</xdr:rowOff>
    </xdr:to>
    <xdr:cxnSp>
      <xdr:nvCxnSpPr>
        <xdr:cNvPr id="5" name="直接箭头连接符 4"/>
        <xdr:cNvCxnSpPr/>
      </xdr:nvCxnSpPr>
      <xdr:spPr>
        <a:xfrm flipH="1" flipV="1">
          <a:off x="1133475" y="7575550"/>
          <a:ext cx="6715125" cy="19050"/>
        </a:xfrm>
        <a:prstGeom prst="straightConnector1">
          <a:avLst/>
        </a:prstGeom>
        <a:ln w="31750" cap="rnd">
          <a:solidFill>
            <a:schemeClr val="accent1"/>
          </a:solidFill>
          <a:round/>
          <a:tailEnd type="arrow" w="med" len="med"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123825</xdr:colOff>
      <xdr:row>35</xdr:row>
      <xdr:rowOff>57150</xdr:rowOff>
    </xdr:from>
    <xdr:to>
      <xdr:col>12</xdr:col>
      <xdr:colOff>28575</xdr:colOff>
      <xdr:row>36</xdr:row>
      <xdr:rowOff>9525</xdr:rowOff>
    </xdr:to>
    <xdr:cxnSp>
      <xdr:nvCxnSpPr>
        <xdr:cNvPr id="6" name="直接箭头连接符 5"/>
        <xdr:cNvCxnSpPr/>
      </xdr:nvCxnSpPr>
      <xdr:spPr>
        <a:xfrm flipH="1">
          <a:off x="7343775" y="7702550"/>
          <a:ext cx="1162050" cy="174625"/>
        </a:xfrm>
        <a:prstGeom prst="straightConnector1">
          <a:avLst/>
        </a:prstGeom>
        <a:ln w="31750" cap="rnd">
          <a:solidFill>
            <a:schemeClr val="accent1"/>
          </a:solidFill>
          <a:round/>
          <a:tailEnd type="arrow" w="med" len="med"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222250</xdr:colOff>
      <xdr:row>62</xdr:row>
      <xdr:rowOff>50800</xdr:rowOff>
    </xdr:from>
    <xdr:to>
      <xdr:col>5</xdr:col>
      <xdr:colOff>501650</xdr:colOff>
      <xdr:row>70</xdr:row>
      <xdr:rowOff>127000</xdr:rowOff>
    </xdr:to>
    <xdr:pic>
      <xdr:nvPicPr>
        <xdr:cNvPr id="3" name="图片 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359150" y="12985750"/>
          <a:ext cx="1219200" cy="16002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0445;&#38505;&#26041;&#26696;&#32508;&#21512;&#35780;&#20998;&#35745;&#31639;&#3492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28798;&#24773;&#25968;&#25454;&#25104;&#26412;&#21160;&#22240;&#36716;&#25442;&#35745;&#31639;&#34920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保险方案评分计算"/>
    </sheetNames>
    <sheetDataSet>
      <sheetData sheetId="0">
        <row r="5">
          <cell r="B5">
            <v>200</v>
          </cell>
        </row>
        <row r="6">
          <cell r="B6">
            <v>220</v>
          </cell>
        </row>
        <row r="7">
          <cell r="B7">
            <v>280</v>
          </cell>
        </row>
        <row r="29">
          <cell r="J29">
            <v>38</v>
          </cell>
        </row>
        <row r="30">
          <cell r="J30">
            <v>77.7857142857143</v>
          </cell>
        </row>
        <row r="31">
          <cell r="J31">
            <v>69.125</v>
          </cell>
        </row>
        <row r="36">
          <cell r="B36">
            <v>50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成本动因转换"/>
    </sheetNames>
    <sheetDataSet>
      <sheetData sheetId="0">
        <row r="48">
          <cell r="A48" t="str">
            <v>食品</v>
          </cell>
          <cell r="B48">
            <v>525000</v>
          </cell>
        </row>
        <row r="49">
          <cell r="A49" t="str">
            <v>饮水</v>
          </cell>
          <cell r="B49">
            <v>168000</v>
          </cell>
        </row>
        <row r="50">
          <cell r="A50" t="str">
            <v>帐篷</v>
          </cell>
          <cell r="B50">
            <v>1487500</v>
          </cell>
        </row>
        <row r="51">
          <cell r="A51" t="str">
            <v>棉被</v>
          </cell>
          <cell r="B51">
            <v>455260</v>
          </cell>
        </row>
        <row r="52">
          <cell r="A52" t="str">
            <v>特殊人群保障</v>
          </cell>
          <cell r="B52">
            <v>89640</v>
          </cell>
        </row>
        <row r="53">
          <cell r="A53" t="str">
            <v>运输</v>
          </cell>
          <cell r="B53">
            <v>4505.9999999998</v>
          </cell>
        </row>
        <row r="54">
          <cell r="A54" t="str">
            <v>保险</v>
          </cell>
          <cell r="B54">
            <v>11000</v>
          </cell>
        </row>
        <row r="55">
          <cell r="A55" t="str">
            <v>设备</v>
          </cell>
          <cell r="B55">
            <v>76000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72"/>
  <sheetViews>
    <sheetView tabSelected="1" workbookViewId="0">
      <selection activeCell="D1049" sqref="D1049"/>
    </sheetView>
  </sheetViews>
  <sheetFormatPr defaultColWidth="9" defaultRowHeight="14" outlineLevelCol="3"/>
  <sheetData>
    <row r="1" spans="1:1">
      <c r="A1" s="9"/>
    </row>
    <row r="2" ht="17.5" spans="1:1">
      <c r="A2" s="26" t="s">
        <v>0</v>
      </c>
    </row>
    <row r="3" spans="1:1">
      <c r="A3" s="9"/>
    </row>
    <row r="4" spans="1:1">
      <c r="A4" s="4" t="s">
        <v>1</v>
      </c>
    </row>
    <row r="5" spans="1:1">
      <c r="A5" s="9"/>
    </row>
    <row r="6" spans="1:1">
      <c r="A6" s="9" t="s">
        <v>2</v>
      </c>
    </row>
    <row r="7" spans="1:1">
      <c r="A7" s="9"/>
    </row>
    <row r="8" spans="1:1">
      <c r="A8" s="4" t="s">
        <v>3</v>
      </c>
    </row>
    <row r="9" spans="1:1">
      <c r="A9" s="9"/>
    </row>
    <row r="10" spans="1:1">
      <c r="A10" s="9" t="s">
        <v>4</v>
      </c>
    </row>
    <row r="11" spans="1:1">
      <c r="A11" s="9"/>
    </row>
    <row r="12" spans="1:1">
      <c r="A12" s="27" t="s">
        <v>5</v>
      </c>
    </row>
    <row r="13" spans="1:1">
      <c r="A13" s="9"/>
    </row>
    <row r="14" spans="1:1">
      <c r="A14" s="27" t="s">
        <v>6</v>
      </c>
    </row>
    <row r="15" spans="1:1">
      <c r="A15" s="9"/>
    </row>
    <row r="16" spans="1:1">
      <c r="A16" s="27" t="s">
        <v>7</v>
      </c>
    </row>
    <row r="17" spans="1:1">
      <c r="A17" s="9"/>
    </row>
    <row r="18" spans="1:1">
      <c r="A18" s="27" t="s">
        <v>8</v>
      </c>
    </row>
    <row r="19" spans="1:1">
      <c r="A19" s="9"/>
    </row>
    <row r="20" spans="1:1">
      <c r="A20" s="27" t="s">
        <v>9</v>
      </c>
    </row>
    <row r="21" spans="1:1">
      <c r="A21" s="9"/>
    </row>
    <row r="22" spans="1:1">
      <c r="A22" s="27" t="s">
        <v>10</v>
      </c>
    </row>
    <row r="23" spans="1:1">
      <c r="A23" s="9"/>
    </row>
    <row r="24" spans="1:1">
      <c r="A24" s="27" t="s">
        <v>11</v>
      </c>
    </row>
    <row r="25" spans="1:1">
      <c r="A25" s="9"/>
    </row>
    <row r="26" spans="1:1">
      <c r="A26" s="9" t="s">
        <v>12</v>
      </c>
    </row>
    <row r="27" spans="1:1">
      <c r="A27" s="9"/>
    </row>
    <row r="28" spans="1:1">
      <c r="A28" s="4" t="s">
        <v>13</v>
      </c>
    </row>
    <row r="29" spans="1:1">
      <c r="A29" s="9"/>
    </row>
    <row r="30" spans="1:1">
      <c r="A30" s="9" t="s">
        <v>14</v>
      </c>
    </row>
    <row r="31" spans="1:1">
      <c r="A31" s="9"/>
    </row>
    <row r="32" spans="1:1">
      <c r="A32" s="9"/>
    </row>
    <row r="33" spans="1:1">
      <c r="A33" s="9"/>
    </row>
    <row r="34" ht="17.5" spans="1:1">
      <c r="A34" s="26" t="s">
        <v>15</v>
      </c>
    </row>
    <row r="35" spans="1:1">
      <c r="A35" s="9"/>
    </row>
    <row r="36" spans="1:1">
      <c r="A36" s="9" t="s">
        <v>16</v>
      </c>
    </row>
    <row r="37" spans="1:1">
      <c r="A37" s="9"/>
    </row>
    <row r="38" spans="1:1">
      <c r="A38" s="4" t="s">
        <v>17</v>
      </c>
    </row>
    <row r="39" spans="1:1">
      <c r="A39" s="9"/>
    </row>
    <row r="40" spans="1:1">
      <c r="A40" s="9" t="s">
        <v>18</v>
      </c>
    </row>
    <row r="41" spans="1:1">
      <c r="A41" s="9"/>
    </row>
    <row r="42" spans="1:1">
      <c r="A42" s="27" t="s">
        <v>19</v>
      </c>
    </row>
    <row r="43" spans="1:1">
      <c r="A43" s="9"/>
    </row>
    <row r="44" spans="1:1">
      <c r="A44" s="27" t="s">
        <v>20</v>
      </c>
    </row>
    <row r="45" spans="1:1">
      <c r="A45" s="9"/>
    </row>
    <row r="46" spans="1:1">
      <c r="A46" s="27" t="s">
        <v>21</v>
      </c>
    </row>
    <row r="47" spans="1:1">
      <c r="A47" s="9"/>
    </row>
    <row r="48" spans="1:1">
      <c r="A48" s="27" t="s">
        <v>22</v>
      </c>
    </row>
    <row r="49" spans="1:1">
      <c r="A49" s="9"/>
    </row>
    <row r="50" spans="1:1">
      <c r="A50" s="27" t="s">
        <v>23</v>
      </c>
    </row>
    <row r="51" spans="1:1">
      <c r="A51" s="9"/>
    </row>
    <row r="52" spans="1:1">
      <c r="A52" s="27" t="s">
        <v>24</v>
      </c>
    </row>
    <row r="53" spans="1:1">
      <c r="A53" s="9"/>
    </row>
    <row r="54" spans="1:1">
      <c r="A54" s="9" t="s">
        <v>25</v>
      </c>
    </row>
    <row r="55" spans="1:1">
      <c r="A55" s="9"/>
    </row>
    <row r="56" spans="1:1">
      <c r="A56" s="4" t="s">
        <v>26</v>
      </c>
    </row>
    <row r="57" spans="1:1">
      <c r="A57" s="9"/>
    </row>
    <row r="58" spans="1:1">
      <c r="A58" s="9" t="s">
        <v>27</v>
      </c>
    </row>
    <row r="59" spans="1:1">
      <c r="A59" s="9"/>
    </row>
    <row r="60" spans="1:1">
      <c r="A60" s="4" t="s">
        <v>28</v>
      </c>
    </row>
    <row r="61" spans="1:1">
      <c r="A61" s="9"/>
    </row>
    <row r="62" spans="1:1">
      <c r="A62" s="9" t="s">
        <v>12</v>
      </c>
    </row>
    <row r="63" spans="1:1">
      <c r="A63" s="9"/>
    </row>
    <row r="64" spans="1:1">
      <c r="A64" s="4" t="s">
        <v>13</v>
      </c>
    </row>
    <row r="65" spans="1:1">
      <c r="A65" s="9"/>
    </row>
    <row r="66" spans="1:1">
      <c r="A66" s="9" t="s">
        <v>29</v>
      </c>
    </row>
    <row r="67" spans="1:1">
      <c r="A67" s="9"/>
    </row>
    <row r="68" spans="1:1">
      <c r="A68" s="9"/>
    </row>
    <row r="69" spans="1:1">
      <c r="A69" s="9"/>
    </row>
    <row r="70" ht="17.5" spans="1:1">
      <c r="A70" s="26" t="s">
        <v>30</v>
      </c>
    </row>
    <row r="71" spans="1:1">
      <c r="A71" s="9"/>
    </row>
    <row r="72" spans="1:1">
      <c r="A72" s="9" t="s">
        <v>16</v>
      </c>
    </row>
    <row r="73" spans="1:1">
      <c r="A73" s="9"/>
    </row>
    <row r="74" spans="1:1">
      <c r="A74" s="4" t="s">
        <v>31</v>
      </c>
    </row>
    <row r="75" spans="1:1">
      <c r="A75" s="9"/>
    </row>
    <row r="76" spans="1:1">
      <c r="A76" s="9" t="s">
        <v>32</v>
      </c>
    </row>
    <row r="77" spans="1:1">
      <c r="A77" s="9"/>
    </row>
    <row r="78" spans="1:1">
      <c r="A78" s="9" t="s">
        <v>33</v>
      </c>
    </row>
    <row r="79" spans="1:1">
      <c r="A79" s="9"/>
    </row>
    <row r="80" spans="1:1">
      <c r="A80" s="9" t="s">
        <v>34</v>
      </c>
    </row>
    <row r="81" spans="1:1">
      <c r="A81" s="9"/>
    </row>
    <row r="82" spans="1:1">
      <c r="A82" s="9" t="s">
        <v>35</v>
      </c>
    </row>
    <row r="83" spans="1:1">
      <c r="A83" s="9"/>
    </row>
    <row r="84" spans="1:1">
      <c r="A84" s="9" t="s">
        <v>36</v>
      </c>
    </row>
    <row r="85" spans="1:1">
      <c r="A85" s="9"/>
    </row>
    <row r="86" spans="1:1">
      <c r="A86" s="9" t="s">
        <v>37</v>
      </c>
    </row>
    <row r="87" spans="1:1">
      <c r="A87" s="9"/>
    </row>
    <row r="88" spans="1:1">
      <c r="A88" s="9" t="s">
        <v>38</v>
      </c>
    </row>
    <row r="89" spans="1:1">
      <c r="A89" s="9"/>
    </row>
    <row r="90" spans="1:1">
      <c r="A90" s="27" t="s">
        <v>39</v>
      </c>
    </row>
    <row r="91" spans="1:1">
      <c r="A91" s="9"/>
    </row>
    <row r="92" spans="1:1">
      <c r="A92" s="27" t="s">
        <v>40</v>
      </c>
    </row>
    <row r="93" spans="1:1">
      <c r="A93" s="9"/>
    </row>
    <row r="94" spans="1:1">
      <c r="A94" s="27" t="s">
        <v>41</v>
      </c>
    </row>
    <row r="95" spans="1:1">
      <c r="A95" s="9"/>
    </row>
    <row r="96" spans="1:1">
      <c r="A96" s="27" t="s">
        <v>42</v>
      </c>
    </row>
    <row r="97" spans="1:1">
      <c r="A97" s="9"/>
    </row>
    <row r="98" spans="1:1">
      <c r="A98" s="27" t="s">
        <v>43</v>
      </c>
    </row>
    <row r="99" spans="1:1">
      <c r="A99" s="9"/>
    </row>
    <row r="100" spans="1:1">
      <c r="A100" s="27" t="s">
        <v>44</v>
      </c>
    </row>
    <row r="101" spans="1:1">
      <c r="A101" s="9"/>
    </row>
    <row r="102" spans="1:1">
      <c r="A102" s="9" t="s">
        <v>45</v>
      </c>
    </row>
    <row r="103" spans="1:1">
      <c r="A103" s="9"/>
    </row>
    <row r="104" spans="1:1">
      <c r="A104" s="4" t="s">
        <v>46</v>
      </c>
    </row>
    <row r="105" spans="1:1">
      <c r="A105" s="9"/>
    </row>
    <row r="106" spans="1:1">
      <c r="A106" s="9" t="s">
        <v>12</v>
      </c>
    </row>
    <row r="107" spans="1:1">
      <c r="A107" s="9"/>
    </row>
    <row r="108" spans="1:1">
      <c r="A108" s="4" t="s">
        <v>13</v>
      </c>
    </row>
    <row r="109" spans="1:1">
      <c r="A109" s="9"/>
    </row>
    <row r="110" spans="1:1">
      <c r="A110" s="9" t="s">
        <v>47</v>
      </c>
    </row>
    <row r="111" spans="1:1">
      <c r="A111" s="9"/>
    </row>
    <row r="112" spans="1:1">
      <c r="A112" s="9"/>
    </row>
    <row r="113" spans="1:1">
      <c r="A113" s="9"/>
    </row>
    <row r="114" ht="17.5" spans="1:1">
      <c r="A114" s="26" t="s">
        <v>48</v>
      </c>
    </row>
    <row r="115" spans="1:1">
      <c r="A115" s="9"/>
    </row>
    <row r="116" spans="1:1">
      <c r="A116" s="9" t="s">
        <v>16</v>
      </c>
    </row>
    <row r="117" spans="1:1">
      <c r="A117" s="9"/>
    </row>
    <row r="118" spans="1:1">
      <c r="A118" s="4" t="s">
        <v>49</v>
      </c>
    </row>
    <row r="119" spans="1:1">
      <c r="A119" s="9"/>
    </row>
    <row r="120" spans="1:1">
      <c r="A120" s="9" t="s">
        <v>50</v>
      </c>
    </row>
    <row r="121" spans="1:1">
      <c r="A121" s="9"/>
    </row>
    <row r="122" spans="1:1">
      <c r="A122" s="9" t="s">
        <v>51</v>
      </c>
    </row>
    <row r="123" spans="1:1">
      <c r="A123" s="9"/>
    </row>
    <row r="124" spans="1:1">
      <c r="A124" s="9" t="s">
        <v>52</v>
      </c>
    </row>
    <row r="125" spans="1:1">
      <c r="A125" s="9"/>
    </row>
    <row r="126" spans="1:1">
      <c r="A126" s="4" t="s">
        <v>53</v>
      </c>
    </row>
    <row r="127" spans="1:1">
      <c r="A127" s="9"/>
    </row>
    <row r="128" spans="1:1">
      <c r="A128" s="9" t="s">
        <v>54</v>
      </c>
    </row>
    <row r="129" spans="1:1">
      <c r="A129" s="9"/>
    </row>
    <row r="130" spans="1:1">
      <c r="A130" s="9" t="s">
        <v>55</v>
      </c>
    </row>
    <row r="131" spans="1:1">
      <c r="A131" s="9" t="s">
        <v>56</v>
      </c>
    </row>
    <row r="132" spans="1:1">
      <c r="A132" s="9" t="s">
        <v>57</v>
      </c>
    </row>
    <row r="133" spans="1:1">
      <c r="A133" s="9" t="s">
        <v>58</v>
      </c>
    </row>
    <row r="134" spans="1:1">
      <c r="A134" s="9"/>
    </row>
    <row r="135" spans="1:1">
      <c r="A135" s="9" t="s">
        <v>12</v>
      </c>
    </row>
    <row r="136" spans="1:1">
      <c r="A136" s="9"/>
    </row>
    <row r="137" spans="1:1">
      <c r="A137" s="4" t="s">
        <v>13</v>
      </c>
    </row>
    <row r="138" spans="1:1">
      <c r="A138" s="9"/>
    </row>
    <row r="139" spans="1:1">
      <c r="A139" s="9" t="s">
        <v>59</v>
      </c>
    </row>
    <row r="140" spans="1:1">
      <c r="A140" s="9"/>
    </row>
    <row r="141" spans="1:1">
      <c r="A141" s="9"/>
    </row>
    <row r="142" spans="1:1">
      <c r="A142" s="9"/>
    </row>
    <row r="143" ht="17.5" spans="1:1">
      <c r="A143" s="26" t="s">
        <v>60</v>
      </c>
    </row>
    <row r="144" spans="1:1">
      <c r="A144" s="9"/>
    </row>
    <row r="145" spans="1:1">
      <c r="A145" s="9" t="s">
        <v>16</v>
      </c>
    </row>
    <row r="146" spans="1:1">
      <c r="A146" s="9"/>
    </row>
    <row r="147" spans="1:1">
      <c r="A147" s="4" t="s">
        <v>61</v>
      </c>
    </row>
    <row r="148" spans="1:1">
      <c r="A148" s="9"/>
    </row>
    <row r="149" spans="1:1">
      <c r="A149" s="9" t="s">
        <v>62</v>
      </c>
    </row>
    <row r="150" spans="1:1">
      <c r="A150" s="9"/>
    </row>
    <row r="151" spans="1:1">
      <c r="A151" s="4" t="s">
        <v>63</v>
      </c>
    </row>
    <row r="152" spans="1:1">
      <c r="A152" s="9"/>
    </row>
    <row r="153" spans="1:1">
      <c r="A153" s="9" t="s">
        <v>64</v>
      </c>
    </row>
    <row r="154" spans="1:1">
      <c r="A154" s="9"/>
    </row>
    <row r="155" spans="1:1">
      <c r="A155" s="9" t="s">
        <v>65</v>
      </c>
    </row>
    <row r="156" spans="1:1">
      <c r="A156" s="9"/>
    </row>
    <row r="157" spans="1:1">
      <c r="A157" s="9" t="s">
        <v>66</v>
      </c>
    </row>
    <row r="158" spans="1:1">
      <c r="A158" s="9"/>
    </row>
    <row r="159" spans="1:1">
      <c r="A159" s="4" t="s">
        <v>67</v>
      </c>
    </row>
    <row r="160" spans="1:1">
      <c r="A160" s="9"/>
    </row>
    <row r="161" spans="1:1">
      <c r="A161" s="9" t="s">
        <v>64</v>
      </c>
    </row>
    <row r="162" spans="1:1">
      <c r="A162" s="9"/>
    </row>
    <row r="163" spans="1:1">
      <c r="A163" s="9" t="s">
        <v>68</v>
      </c>
    </row>
    <row r="164" spans="1:1">
      <c r="A164" s="9"/>
    </row>
    <row r="165" spans="1:1">
      <c r="A165" s="9" t="s">
        <v>66</v>
      </c>
    </row>
    <row r="166" spans="1:1">
      <c r="A166" s="9"/>
    </row>
    <row r="167" spans="1:1">
      <c r="A167" s="4" t="s">
        <v>69</v>
      </c>
    </row>
    <row r="168" spans="1:1">
      <c r="A168" s="9"/>
    </row>
    <row r="169" spans="1:1">
      <c r="A169" s="9" t="s">
        <v>70</v>
      </c>
    </row>
    <row r="170" spans="1:1">
      <c r="A170" s="9"/>
    </row>
    <row r="171" spans="1:1">
      <c r="A171" s="9" t="s">
        <v>71</v>
      </c>
    </row>
    <row r="172" spans="1:1">
      <c r="A172" s="9"/>
    </row>
    <row r="173" spans="1:1">
      <c r="A173" s="9" t="s">
        <v>66</v>
      </c>
    </row>
    <row r="174" spans="1:1">
      <c r="A174" s="9"/>
    </row>
    <row r="175" spans="1:1">
      <c r="A175" s="4" t="s">
        <v>72</v>
      </c>
    </row>
    <row r="176" spans="1:1">
      <c r="A176" s="9"/>
    </row>
    <row r="177" spans="1:1">
      <c r="A177" s="9" t="s">
        <v>73</v>
      </c>
    </row>
    <row r="178" spans="1:1">
      <c r="A178" s="9"/>
    </row>
    <row r="179" spans="1:1">
      <c r="A179" s="9" t="s">
        <v>74</v>
      </c>
    </row>
    <row r="180" spans="1:1">
      <c r="A180" s="9"/>
    </row>
    <row r="181" spans="1:1">
      <c r="A181" s="9" t="s">
        <v>75</v>
      </c>
    </row>
    <row r="182" spans="1:1">
      <c r="A182" s="9"/>
    </row>
    <row r="183" spans="1:1">
      <c r="A183" s="4" t="s">
        <v>76</v>
      </c>
    </row>
    <row r="184" spans="1:1">
      <c r="A184" s="9"/>
    </row>
    <row r="185" spans="1:1">
      <c r="A185" s="4" t="s">
        <v>77</v>
      </c>
    </row>
    <row r="186" spans="1:1">
      <c r="A186" s="9"/>
    </row>
    <row r="187" spans="1:1">
      <c r="A187" s="4" t="s">
        <v>78</v>
      </c>
    </row>
    <row r="188" spans="1:1">
      <c r="A188" s="9"/>
    </row>
    <row r="189" spans="1:1">
      <c r="A189" s="4" t="s">
        <v>79</v>
      </c>
    </row>
    <row r="190" spans="1:1">
      <c r="A190" s="9"/>
    </row>
    <row r="191" spans="1:1">
      <c r="A191" s="4" t="s">
        <v>80</v>
      </c>
    </row>
    <row r="192" spans="1:1">
      <c r="A192" s="9"/>
    </row>
    <row r="193" spans="1:1">
      <c r="A193" s="9" t="s">
        <v>81</v>
      </c>
    </row>
    <row r="194" spans="1:1">
      <c r="A194" s="9"/>
    </row>
    <row r="195" spans="1:1">
      <c r="A195" s="4" t="s">
        <v>13</v>
      </c>
    </row>
    <row r="196" spans="1:1">
      <c r="A196" s="9"/>
    </row>
    <row r="197" spans="1:1">
      <c r="A197" s="9" t="s">
        <v>82</v>
      </c>
    </row>
    <row r="198" spans="1:1">
      <c r="A198" s="9"/>
    </row>
    <row r="199" spans="1:1">
      <c r="A199" s="9"/>
    </row>
    <row r="200" spans="1:1">
      <c r="A200" s="9"/>
    </row>
    <row r="201" ht="17.5" spans="1:1">
      <c r="A201" s="26" t="s">
        <v>83</v>
      </c>
    </row>
    <row r="202" spans="1:1">
      <c r="A202" s="9"/>
    </row>
    <row r="203" spans="1:1">
      <c r="A203" s="9" t="s">
        <v>16</v>
      </c>
    </row>
    <row r="204" spans="1:1">
      <c r="A204" s="9"/>
    </row>
    <row r="205" spans="1:1">
      <c r="A205" s="4" t="s">
        <v>84</v>
      </c>
    </row>
    <row r="206" spans="1:1">
      <c r="A206" s="9"/>
    </row>
    <row r="207" spans="1:1">
      <c r="A207" s="9" t="s">
        <v>85</v>
      </c>
    </row>
    <row r="208" spans="1:1">
      <c r="A208" s="9"/>
    </row>
    <row r="209" spans="1:1">
      <c r="A209" s="4" t="s">
        <v>86</v>
      </c>
    </row>
    <row r="210" spans="1:1">
      <c r="A210" s="9"/>
    </row>
    <row r="211" spans="1:1">
      <c r="A211" s="9" t="s">
        <v>87</v>
      </c>
    </row>
    <row r="212" spans="1:1">
      <c r="A212" s="9"/>
    </row>
    <row r="213" spans="1:1">
      <c r="A213" s="27" t="s">
        <v>88</v>
      </c>
    </row>
    <row r="214" spans="1:1">
      <c r="A214" s="9"/>
    </row>
    <row r="215" spans="1:1">
      <c r="A215" s="27" t="s">
        <v>89</v>
      </c>
    </row>
    <row r="216" spans="1:1">
      <c r="A216" s="9"/>
    </row>
    <row r="217" spans="1:1">
      <c r="A217" s="27" t="s">
        <v>90</v>
      </c>
    </row>
    <row r="218" spans="1:1">
      <c r="A218" s="9"/>
    </row>
    <row r="219" spans="1:1">
      <c r="A219" s="27" t="s">
        <v>91</v>
      </c>
    </row>
    <row r="220" spans="1:1">
      <c r="A220" s="9"/>
    </row>
    <row r="221" spans="1:1">
      <c r="A221" s="27" t="s">
        <v>92</v>
      </c>
    </row>
    <row r="222" spans="1:1">
      <c r="A222" s="9"/>
    </row>
    <row r="223" spans="1:1">
      <c r="A223" s="4" t="s">
        <v>93</v>
      </c>
    </row>
    <row r="224" spans="1:1">
      <c r="A224" s="9"/>
    </row>
    <row r="225" spans="1:1">
      <c r="A225" s="9" t="s">
        <v>87</v>
      </c>
    </row>
    <row r="226" spans="1:1">
      <c r="A226" s="9"/>
    </row>
    <row r="227" spans="1:1">
      <c r="A227" s="27" t="s">
        <v>94</v>
      </c>
    </row>
    <row r="228" spans="1:1">
      <c r="A228" s="9"/>
    </row>
    <row r="229" spans="1:1">
      <c r="A229" s="27" t="s">
        <v>95</v>
      </c>
    </row>
    <row r="230" spans="1:1">
      <c r="A230" s="9"/>
    </row>
    <row r="231" spans="1:1">
      <c r="A231" s="27" t="s">
        <v>96</v>
      </c>
    </row>
    <row r="232" spans="1:1">
      <c r="A232" s="9"/>
    </row>
    <row r="233" spans="1:1">
      <c r="A233" s="27" t="s">
        <v>97</v>
      </c>
    </row>
    <row r="234" spans="1:1">
      <c r="A234" s="9"/>
    </row>
    <row r="235" spans="1:1">
      <c r="A235" s="27" t="s">
        <v>98</v>
      </c>
    </row>
    <row r="236" spans="1:1">
      <c r="A236" s="9"/>
    </row>
    <row r="237" spans="1:1">
      <c r="A237" s="9" t="s">
        <v>99</v>
      </c>
    </row>
    <row r="238" spans="1:1">
      <c r="A238" s="9"/>
    </row>
    <row r="239" spans="1:1">
      <c r="A239" s="4" t="s">
        <v>100</v>
      </c>
    </row>
    <row r="240" spans="1:1">
      <c r="A240" s="9"/>
    </row>
    <row r="241" spans="1:1">
      <c r="A241" s="9" t="s">
        <v>87</v>
      </c>
    </row>
    <row r="242" spans="1:1">
      <c r="A242" s="9"/>
    </row>
    <row r="243" spans="1:1">
      <c r="A243" s="27" t="s">
        <v>101</v>
      </c>
    </row>
    <row r="244" spans="1:1">
      <c r="A244" s="9"/>
    </row>
    <row r="245" spans="1:1">
      <c r="A245" s="27" t="s">
        <v>102</v>
      </c>
    </row>
    <row r="246" spans="1:1">
      <c r="A246" s="9"/>
    </row>
    <row r="247" spans="1:1">
      <c r="A247" s="27" t="s">
        <v>103</v>
      </c>
    </row>
    <row r="248" spans="1:1">
      <c r="A248" s="9"/>
    </row>
    <row r="249" spans="1:1">
      <c r="A249" s="27" t="s">
        <v>104</v>
      </c>
    </row>
    <row r="250" spans="1:1">
      <c r="A250" s="9"/>
    </row>
    <row r="251" spans="1:1">
      <c r="A251" s="9" t="s">
        <v>105</v>
      </c>
    </row>
    <row r="252" spans="1:1">
      <c r="A252" s="9"/>
    </row>
    <row r="253" spans="1:1">
      <c r="A253" s="4" t="s">
        <v>106</v>
      </c>
    </row>
    <row r="254" spans="1:1">
      <c r="A254" s="9"/>
    </row>
    <row r="255" spans="1:1">
      <c r="A255" s="9" t="s">
        <v>87</v>
      </c>
    </row>
    <row r="256" spans="1:1">
      <c r="A256" s="9"/>
    </row>
    <row r="257" spans="1:1">
      <c r="A257" s="27" t="s">
        <v>107</v>
      </c>
    </row>
    <row r="258" spans="1:1">
      <c r="A258" s="9"/>
    </row>
    <row r="259" spans="1:1">
      <c r="A259" s="27" t="s">
        <v>108</v>
      </c>
    </row>
    <row r="260" spans="1:1">
      <c r="A260" s="9"/>
    </row>
    <row r="261" spans="1:1">
      <c r="A261" s="27" t="s">
        <v>109</v>
      </c>
    </row>
    <row r="262" spans="1:1">
      <c r="A262" s="9"/>
    </row>
    <row r="263" spans="1:1">
      <c r="A263" s="27" t="s">
        <v>110</v>
      </c>
    </row>
    <row r="264" spans="1:1">
      <c r="A264" s="9"/>
    </row>
    <row r="265" spans="1:1">
      <c r="A265" s="27" t="s">
        <v>111</v>
      </c>
    </row>
    <row r="266" spans="1:1">
      <c r="A266" s="9"/>
    </row>
    <row r="267" spans="1:1">
      <c r="A267" s="27" t="s">
        <v>112</v>
      </c>
    </row>
    <row r="268" spans="1:1">
      <c r="A268" s="9"/>
    </row>
    <row r="269" spans="1:1">
      <c r="A269" s="9" t="s">
        <v>113</v>
      </c>
    </row>
    <row r="270" spans="1:1">
      <c r="A270" s="9"/>
    </row>
    <row r="271" spans="1:1">
      <c r="A271" s="4" t="s">
        <v>114</v>
      </c>
    </row>
    <row r="272" spans="1:1">
      <c r="A272" s="9"/>
    </row>
    <row r="273" spans="1:1">
      <c r="A273" s="9" t="s">
        <v>87</v>
      </c>
    </row>
    <row r="274" spans="1:1">
      <c r="A274" s="9"/>
    </row>
    <row r="275" spans="1:1">
      <c r="A275" s="27" t="s">
        <v>115</v>
      </c>
    </row>
    <row r="276" spans="1:1">
      <c r="A276" s="9"/>
    </row>
    <row r="277" spans="1:1">
      <c r="A277" s="27" t="s">
        <v>116</v>
      </c>
    </row>
    <row r="278" spans="1:1">
      <c r="A278" s="9"/>
    </row>
    <row r="279" spans="1:1">
      <c r="A279" s="27" t="s">
        <v>117</v>
      </c>
    </row>
    <row r="280" spans="1:1">
      <c r="A280" s="9"/>
    </row>
    <row r="281" spans="1:1">
      <c r="A281" s="27" t="s">
        <v>118</v>
      </c>
    </row>
    <row r="282" spans="1:1">
      <c r="A282" s="9"/>
    </row>
    <row r="283" spans="1:1">
      <c r="A283" s="27" t="s">
        <v>119</v>
      </c>
    </row>
    <row r="284" spans="1:1">
      <c r="A284" s="9"/>
    </row>
    <row r="285" spans="1:1">
      <c r="A285" s="9" t="s">
        <v>120</v>
      </c>
    </row>
    <row r="286" spans="1:1">
      <c r="A286" s="9"/>
    </row>
    <row r="287" spans="1:1">
      <c r="A287" s="9" t="s">
        <v>121</v>
      </c>
    </row>
    <row r="288" spans="1:1">
      <c r="A288" s="9"/>
    </row>
    <row r="289" spans="1:1">
      <c r="A289" s="9"/>
    </row>
    <row r="290" spans="1:1">
      <c r="A290" s="9"/>
    </row>
    <row r="291" ht="17.5" spans="1:1">
      <c r="A291" s="26" t="s">
        <v>122</v>
      </c>
    </row>
    <row r="292" spans="1:1">
      <c r="A292" s="9"/>
    </row>
    <row r="293" spans="1:1">
      <c r="A293" s="9" t="s">
        <v>16</v>
      </c>
    </row>
    <row r="294" spans="1:1">
      <c r="A294" s="9"/>
    </row>
    <row r="295" spans="1:1">
      <c r="A295" s="4" t="s">
        <v>123</v>
      </c>
    </row>
    <row r="296" spans="1:1">
      <c r="A296" s="9"/>
    </row>
    <row r="297" spans="1:1">
      <c r="A297" s="9" t="s">
        <v>124</v>
      </c>
    </row>
    <row r="298" spans="1:1">
      <c r="A298" s="9"/>
    </row>
    <row r="299" spans="1:1">
      <c r="A299" s="4" t="s">
        <v>125</v>
      </c>
    </row>
    <row r="300" spans="1:1">
      <c r="A300" s="9"/>
    </row>
    <row r="301" spans="1:1">
      <c r="A301" s="9" t="s">
        <v>126</v>
      </c>
    </row>
    <row r="302" spans="1:1">
      <c r="A302" s="9" t="s">
        <v>127</v>
      </c>
    </row>
    <row r="303" spans="1:1">
      <c r="A303" s="9" t="s">
        <v>128</v>
      </c>
    </row>
    <row r="304" spans="1:1">
      <c r="A304" s="9"/>
    </row>
    <row r="305" spans="1:1">
      <c r="A305" s="4" t="s">
        <v>129</v>
      </c>
    </row>
    <row r="306" spans="1:1">
      <c r="A306" s="9"/>
    </row>
    <row r="307" spans="1:1">
      <c r="A307" s="9" t="s">
        <v>130</v>
      </c>
    </row>
    <row r="308" spans="1:1">
      <c r="A308" s="9" t="s">
        <v>131</v>
      </c>
    </row>
    <row r="309" spans="1:1">
      <c r="A309" s="9" t="s">
        <v>132</v>
      </c>
    </row>
    <row r="310" spans="1:1">
      <c r="A310" s="9"/>
    </row>
    <row r="311" spans="1:1">
      <c r="A311" s="4" t="s">
        <v>133</v>
      </c>
    </row>
    <row r="312" spans="1:1">
      <c r="A312" s="9"/>
    </row>
    <row r="313" spans="1:1">
      <c r="A313" s="9" t="s">
        <v>134</v>
      </c>
    </row>
    <row r="314" spans="1:1">
      <c r="A314" s="9" t="s">
        <v>135</v>
      </c>
    </row>
    <row r="315" spans="1:1">
      <c r="A315" s="9"/>
    </row>
    <row r="316" spans="1:1">
      <c r="A316" s="4" t="s">
        <v>136</v>
      </c>
    </row>
    <row r="317" spans="1:1">
      <c r="A317" s="9"/>
    </row>
    <row r="318" spans="1:1">
      <c r="A318" s="9" t="s">
        <v>137</v>
      </c>
    </row>
    <row r="319" spans="1:1">
      <c r="A319" s="9" t="s">
        <v>138</v>
      </c>
    </row>
    <row r="320" spans="1:1">
      <c r="A320" s="9"/>
    </row>
    <row r="321" spans="1:1">
      <c r="A321" s="4" t="s">
        <v>139</v>
      </c>
    </row>
    <row r="322" spans="1:1">
      <c r="A322" s="9"/>
    </row>
    <row r="323" spans="1:1">
      <c r="A323" s="9" t="s">
        <v>140</v>
      </c>
    </row>
    <row r="324" spans="1:1">
      <c r="A324" s="9" t="s">
        <v>141</v>
      </c>
    </row>
    <row r="325" spans="1:1">
      <c r="A325" s="9"/>
    </row>
    <row r="326" spans="1:1">
      <c r="A326" s="9" t="s">
        <v>142</v>
      </c>
    </row>
    <row r="327" spans="1:1">
      <c r="A327" s="9"/>
    </row>
    <row r="328" spans="1:1">
      <c r="A328" s="9"/>
    </row>
    <row r="329" spans="1:1">
      <c r="A329" s="9"/>
    </row>
    <row r="330" ht="17.5" spans="1:1">
      <c r="A330" s="26" t="s">
        <v>143</v>
      </c>
    </row>
    <row r="331" spans="1:1">
      <c r="A331" s="9"/>
    </row>
    <row r="332" spans="1:1">
      <c r="A332" s="9" t="s">
        <v>144</v>
      </c>
    </row>
    <row r="333" spans="1:1">
      <c r="A333" s="9"/>
    </row>
    <row r="334" spans="1:1">
      <c r="A334" s="9" t="s">
        <v>145</v>
      </c>
    </row>
    <row r="335" spans="1:1">
      <c r="A335" s="9"/>
    </row>
    <row r="336" spans="1:1">
      <c r="A336" s="27" t="s">
        <v>146</v>
      </c>
    </row>
    <row r="337" spans="1:1">
      <c r="A337" s="9"/>
    </row>
    <row r="338" spans="1:1">
      <c r="A338" s="27" t="s">
        <v>147</v>
      </c>
    </row>
    <row r="339" spans="1:1">
      <c r="A339" s="9"/>
    </row>
    <row r="340" spans="1:1">
      <c r="A340" s="27" t="s">
        <v>148</v>
      </c>
    </row>
    <row r="341" spans="1:1">
      <c r="A341" s="9"/>
    </row>
    <row r="342" spans="1:1">
      <c r="A342" s="27" t="s">
        <v>149</v>
      </c>
    </row>
    <row r="343" spans="1:1">
      <c r="A343" s="9"/>
    </row>
    <row r="344" spans="1:1">
      <c r="A344" s="27" t="s">
        <v>150</v>
      </c>
    </row>
    <row r="345" spans="1:1">
      <c r="A345" s="9"/>
    </row>
    <row r="346" spans="1:1">
      <c r="A346" s="27" t="s">
        <v>151</v>
      </c>
    </row>
    <row r="347" spans="1:1">
      <c r="A347" s="9"/>
    </row>
    <row r="348" spans="1:1">
      <c r="A348" s="9" t="s">
        <v>152</v>
      </c>
    </row>
    <row r="349" spans="1:1">
      <c r="A349" s="9"/>
    </row>
    <row r="350" spans="1:1">
      <c r="A350" s="4" t="s">
        <v>153</v>
      </c>
    </row>
    <row r="351" spans="1:1">
      <c r="A351" s="9"/>
    </row>
    <row r="352" spans="1:1">
      <c r="A352" s="9" t="s">
        <v>154</v>
      </c>
    </row>
    <row r="353" spans="1:1">
      <c r="A353" s="9"/>
    </row>
    <row r="354" spans="1:1">
      <c r="A354" s="4" t="s">
        <v>155</v>
      </c>
    </row>
    <row r="355" spans="1:1">
      <c r="A355" s="9"/>
    </row>
    <row r="356" spans="1:1">
      <c r="A356" s="9" t="s">
        <v>156</v>
      </c>
    </row>
    <row r="357" spans="1:1">
      <c r="A357" s="9"/>
    </row>
    <row r="358" spans="1:1">
      <c r="A358" s="4" t="s">
        <v>157</v>
      </c>
    </row>
    <row r="359" spans="1:1">
      <c r="A359" s="9"/>
    </row>
    <row r="360" ht="17.5" spans="1:1">
      <c r="A360" s="26" t="s">
        <v>158</v>
      </c>
    </row>
    <row r="361" spans="1:1">
      <c r="A361" s="9"/>
    </row>
    <row r="362" spans="1:1">
      <c r="A362" s="9" t="s">
        <v>159</v>
      </c>
    </row>
    <row r="363" spans="1:1">
      <c r="A363" s="9"/>
    </row>
    <row r="364" spans="1:1">
      <c r="A364" s="9" t="s">
        <v>160</v>
      </c>
    </row>
    <row r="367" s="10" customFormat="1"/>
    <row r="368" spans="1:1">
      <c r="A368" s="9"/>
    </row>
    <row r="369" ht="17.5" spans="1:1">
      <c r="A369" s="26" t="s">
        <v>161</v>
      </c>
    </row>
    <row r="370" spans="1:1">
      <c r="A370" s="9"/>
    </row>
    <row r="371" ht="17.5" spans="1:1">
      <c r="A371" s="26" t="s">
        <v>162</v>
      </c>
    </row>
    <row r="372" spans="1:1">
      <c r="A372" s="9"/>
    </row>
    <row r="373" spans="1:1">
      <c r="A373" s="9" t="s">
        <v>163</v>
      </c>
    </row>
    <row r="374" spans="1:1">
      <c r="A374" s="9"/>
    </row>
    <row r="375" spans="1:1">
      <c r="A375" s="4" t="s">
        <v>164</v>
      </c>
    </row>
    <row r="376" spans="1:1">
      <c r="A376" s="9"/>
    </row>
    <row r="377" spans="1:1">
      <c r="A377" s="9" t="s">
        <v>165</v>
      </c>
    </row>
    <row r="378" spans="1:1">
      <c r="A378" s="9"/>
    </row>
    <row r="379" spans="1:1">
      <c r="A379" s="4" t="s">
        <v>166</v>
      </c>
    </row>
    <row r="380" spans="1:1">
      <c r="A380" s="9"/>
    </row>
    <row r="381" spans="1:1">
      <c r="A381" s="9" t="s">
        <v>167</v>
      </c>
    </row>
    <row r="382" spans="1:1">
      <c r="A382" s="9"/>
    </row>
    <row r="383" spans="1:1">
      <c r="A383" s="4" t="s">
        <v>168</v>
      </c>
    </row>
    <row r="384" spans="1:1">
      <c r="A384" s="9"/>
    </row>
    <row r="385" spans="1:1">
      <c r="A385" s="9" t="s">
        <v>169</v>
      </c>
    </row>
    <row r="386" spans="1:1">
      <c r="A386" s="9"/>
    </row>
    <row r="387" spans="1:1">
      <c r="A387" s="27" t="s">
        <v>170</v>
      </c>
    </row>
    <row r="388" spans="1:1">
      <c r="A388" s="9"/>
    </row>
    <row r="389" spans="1:1">
      <c r="A389" s="27" t="s">
        <v>171</v>
      </c>
    </row>
    <row r="390" spans="1:1">
      <c r="A390" s="9"/>
    </row>
    <row r="391" spans="1:1">
      <c r="A391" s="27" t="s">
        <v>172</v>
      </c>
    </row>
    <row r="392" spans="1:1">
      <c r="A392" s="9"/>
    </row>
    <row r="393" spans="1:1">
      <c r="A393" s="27" t="s">
        <v>173</v>
      </c>
    </row>
    <row r="394" spans="1:1">
      <c r="A394" s="9"/>
    </row>
    <row r="395" spans="1:1">
      <c r="A395" s="27" t="s">
        <v>174</v>
      </c>
    </row>
    <row r="396" spans="1:1">
      <c r="A396" s="9"/>
    </row>
    <row r="397" spans="1:1">
      <c r="A397" s="27" t="s">
        <v>175</v>
      </c>
    </row>
    <row r="398" spans="1:1">
      <c r="A398" s="9"/>
    </row>
    <row r="399" spans="1:1">
      <c r="A399" s="9" t="s">
        <v>154</v>
      </c>
    </row>
    <row r="400" spans="1:1">
      <c r="A400" s="9"/>
    </row>
    <row r="401" spans="1:1">
      <c r="A401" s="4" t="s">
        <v>176</v>
      </c>
    </row>
    <row r="402" spans="1:1">
      <c r="A402" s="9"/>
    </row>
    <row r="403" spans="1:1">
      <c r="A403" s="9" t="s">
        <v>145</v>
      </c>
    </row>
    <row r="404" spans="1:1">
      <c r="A404" s="9"/>
    </row>
    <row r="405" spans="1:1">
      <c r="A405" s="4" t="s">
        <v>177</v>
      </c>
    </row>
    <row r="406" spans="1:1">
      <c r="A406" s="9"/>
    </row>
    <row r="407" ht="17.5" spans="1:1">
      <c r="A407" s="26" t="s">
        <v>178</v>
      </c>
    </row>
    <row r="408" spans="1:1">
      <c r="A408" s="9"/>
    </row>
    <row r="409" spans="1:1">
      <c r="A409" s="9" t="s">
        <v>179</v>
      </c>
    </row>
    <row r="410" spans="1:1">
      <c r="A410" s="9"/>
    </row>
    <row r="411" spans="1:1">
      <c r="A411" s="9"/>
    </row>
    <row r="412" spans="1:1">
      <c r="A412" s="9"/>
    </row>
    <row r="413" ht="31" spans="1:1">
      <c r="A413" s="29" t="s">
        <v>180</v>
      </c>
    </row>
    <row r="414" spans="1:1">
      <c r="A414" s="9"/>
    </row>
    <row r="415" spans="1:1">
      <c r="A415" s="9" t="s">
        <v>16</v>
      </c>
    </row>
    <row r="416" spans="1:1">
      <c r="A416" s="9"/>
    </row>
    <row r="417" spans="1:1">
      <c r="A417" s="4" t="s">
        <v>181</v>
      </c>
    </row>
    <row r="418" spans="1:1">
      <c r="A418" s="9"/>
    </row>
    <row r="419" spans="1:1">
      <c r="A419" s="9" t="s">
        <v>182</v>
      </c>
    </row>
    <row r="420" spans="1:1">
      <c r="A420" s="9"/>
    </row>
    <row r="421" spans="1:1">
      <c r="A421" s="4" t="s">
        <v>183</v>
      </c>
    </row>
    <row r="422" spans="1:1">
      <c r="A422" s="9"/>
    </row>
    <row r="423" spans="1:1">
      <c r="A423" s="9" t="s">
        <v>184</v>
      </c>
    </row>
    <row r="424" spans="1:1">
      <c r="A424" s="9"/>
    </row>
    <row r="425" spans="1:1">
      <c r="A425" s="4" t="s">
        <v>185</v>
      </c>
    </row>
    <row r="426" spans="1:1">
      <c r="A426" s="9"/>
    </row>
    <row r="427" spans="1:1">
      <c r="A427" s="9" t="s">
        <v>186</v>
      </c>
    </row>
    <row r="428" spans="1:1">
      <c r="A428" s="9"/>
    </row>
    <row r="429" spans="1:1">
      <c r="A429" s="4" t="s">
        <v>187</v>
      </c>
    </row>
    <row r="430" spans="1:1">
      <c r="A430" s="9"/>
    </row>
    <row r="431" spans="1:1">
      <c r="A431" s="9" t="s">
        <v>188</v>
      </c>
    </row>
    <row r="432" spans="1:1">
      <c r="A432" s="9"/>
    </row>
    <row r="433" ht="17.5" spans="1:1">
      <c r="A433" s="26" t="s">
        <v>189</v>
      </c>
    </row>
    <row r="434" spans="1:1">
      <c r="A434" s="9"/>
    </row>
    <row r="435" spans="1:1">
      <c r="A435" s="9" t="s">
        <v>190</v>
      </c>
    </row>
    <row r="436" spans="1:1">
      <c r="A436" s="9"/>
    </row>
    <row r="437" spans="1:1">
      <c r="A437" s="4" t="s">
        <v>191</v>
      </c>
    </row>
    <row r="438" spans="1:1">
      <c r="A438" s="9"/>
    </row>
    <row r="439" spans="1:1">
      <c r="A439" s="9" t="s">
        <v>192</v>
      </c>
    </row>
    <row r="440" spans="1:1">
      <c r="A440" s="9"/>
    </row>
    <row r="441" spans="1:1">
      <c r="A441" s="27" t="s">
        <v>193</v>
      </c>
    </row>
    <row r="442" spans="1:1">
      <c r="A442" s="9"/>
    </row>
    <row r="443" spans="1:1">
      <c r="A443" s="27" t="s">
        <v>194</v>
      </c>
    </row>
    <row r="444" spans="1:1">
      <c r="A444" s="9"/>
    </row>
    <row r="445" spans="1:1">
      <c r="A445" s="27" t="s">
        <v>195</v>
      </c>
    </row>
    <row r="446" spans="1:1">
      <c r="A446" s="9"/>
    </row>
    <row r="447" spans="1:1">
      <c r="A447" s="27" t="s">
        <v>196</v>
      </c>
    </row>
    <row r="448" spans="1:1">
      <c r="A448" s="9"/>
    </row>
    <row r="449" spans="1:1">
      <c r="A449" s="27" t="s">
        <v>197</v>
      </c>
    </row>
    <row r="450" spans="1:1">
      <c r="A450" s="9"/>
    </row>
    <row r="451" spans="1:1">
      <c r="A451" s="27" t="s">
        <v>198</v>
      </c>
    </row>
    <row r="452" spans="1:1">
      <c r="A452" s="9"/>
    </row>
    <row r="453" spans="1:1">
      <c r="A453" s="27" t="s">
        <v>199</v>
      </c>
    </row>
    <row r="454" spans="1:1">
      <c r="A454" s="9"/>
    </row>
    <row r="455" spans="1:1">
      <c r="A455" s="27" t="s">
        <v>200</v>
      </c>
    </row>
    <row r="456" spans="1:1">
      <c r="A456" s="9"/>
    </row>
    <row r="457" spans="1:1">
      <c r="A457" s="27" t="s">
        <v>201</v>
      </c>
    </row>
    <row r="458" spans="1:1">
      <c r="A458" s="9"/>
    </row>
    <row r="459" spans="1:1">
      <c r="A459" s="9" t="s">
        <v>202</v>
      </c>
    </row>
    <row r="460" spans="1:1">
      <c r="A460" s="9"/>
    </row>
    <row r="461" spans="1:1">
      <c r="A461" s="4" t="s">
        <v>203</v>
      </c>
    </row>
    <row r="462" spans="1:1">
      <c r="A462" s="9"/>
    </row>
    <row r="463" spans="1:1">
      <c r="A463" s="4" t="s">
        <v>204</v>
      </c>
    </row>
    <row r="464" spans="1:1">
      <c r="A464" s="9"/>
    </row>
    <row r="465" spans="1:1">
      <c r="A465" s="9"/>
    </row>
    <row r="466" spans="1:1">
      <c r="A466" s="9"/>
    </row>
    <row r="467" ht="17.5" spans="1:1">
      <c r="A467" s="26" t="s">
        <v>205</v>
      </c>
    </row>
    <row r="468" spans="1:1">
      <c r="A468" s="9"/>
    </row>
    <row r="469" spans="1:1">
      <c r="A469" s="9" t="s">
        <v>190</v>
      </c>
    </row>
    <row r="470" spans="1:1">
      <c r="A470" s="9"/>
    </row>
    <row r="471" spans="1:1">
      <c r="A471" s="4" t="s">
        <v>206</v>
      </c>
    </row>
    <row r="472" spans="1:1">
      <c r="A472" s="9"/>
    </row>
    <row r="473" spans="1:1">
      <c r="A473" s="9" t="s">
        <v>207</v>
      </c>
    </row>
    <row r="474" spans="1:1">
      <c r="A474" s="9"/>
    </row>
    <row r="475" spans="1:1">
      <c r="A475" s="9" t="s">
        <v>208</v>
      </c>
    </row>
    <row r="476" spans="1:1">
      <c r="A476" s="9"/>
    </row>
    <row r="477" spans="1:1">
      <c r="A477" s="4" t="s">
        <v>209</v>
      </c>
    </row>
    <row r="478" spans="1:1">
      <c r="A478" s="9"/>
    </row>
    <row r="479" spans="1:1">
      <c r="A479" s="9" t="s">
        <v>202</v>
      </c>
    </row>
    <row r="480" spans="1:1">
      <c r="A480" s="9"/>
    </row>
    <row r="481" spans="1:1">
      <c r="A481" s="4" t="s">
        <v>210</v>
      </c>
    </row>
    <row r="482" spans="1:1">
      <c r="A482" s="9"/>
    </row>
    <row r="483" spans="1:1">
      <c r="A483" s="4" t="s">
        <v>211</v>
      </c>
    </row>
    <row r="484" spans="1:1">
      <c r="A484" s="9"/>
    </row>
    <row r="485" spans="1:1">
      <c r="A485" s="9"/>
    </row>
    <row r="486" spans="1:1">
      <c r="A486" s="9"/>
    </row>
    <row r="487" ht="17.5" spans="1:1">
      <c r="A487" s="26" t="s">
        <v>212</v>
      </c>
    </row>
    <row r="488" spans="1:1">
      <c r="A488" s="9"/>
    </row>
    <row r="489" spans="1:1">
      <c r="A489" s="9" t="s">
        <v>213</v>
      </c>
    </row>
    <row r="490" spans="1:1">
      <c r="A490" s="9"/>
    </row>
    <row r="491" spans="1:1">
      <c r="A491" s="4" t="s">
        <v>214</v>
      </c>
    </row>
    <row r="492" spans="1:1">
      <c r="A492" s="9"/>
    </row>
    <row r="493" spans="1:1">
      <c r="A493" s="9" t="s">
        <v>215</v>
      </c>
    </row>
    <row r="494" spans="1:1">
      <c r="A494" s="9"/>
    </row>
    <row r="495" spans="1:1">
      <c r="A495" s="27" t="s">
        <v>216</v>
      </c>
    </row>
    <row r="496" spans="1:1">
      <c r="A496" s="9"/>
    </row>
    <row r="497" spans="1:1">
      <c r="A497" s="27" t="s">
        <v>217</v>
      </c>
    </row>
    <row r="498" spans="1:1">
      <c r="A498" s="9"/>
    </row>
    <row r="499" spans="1:1">
      <c r="A499" s="27" t="s">
        <v>218</v>
      </c>
    </row>
    <row r="500" spans="1:1">
      <c r="A500" s="9"/>
    </row>
    <row r="501" spans="1:1">
      <c r="A501" s="9" t="s">
        <v>219</v>
      </c>
    </row>
    <row r="502" spans="1:1">
      <c r="A502" s="9"/>
    </row>
    <row r="503" spans="1:1">
      <c r="A503" s="4" t="s">
        <v>220</v>
      </c>
    </row>
    <row r="504" spans="1:1">
      <c r="A504" s="9"/>
    </row>
    <row r="505" spans="1:1">
      <c r="A505" s="9" t="s">
        <v>221</v>
      </c>
    </row>
    <row r="506" spans="1:1">
      <c r="A506" s="9"/>
    </row>
    <row r="507" spans="1:1">
      <c r="A507" s="4" t="s">
        <v>222</v>
      </c>
    </row>
    <row r="508" spans="1:1">
      <c r="A508" s="9"/>
    </row>
    <row r="509" spans="1:1">
      <c r="A509" s="9" t="s">
        <v>45</v>
      </c>
    </row>
    <row r="510" spans="1:1">
      <c r="A510" s="9"/>
    </row>
    <row r="511" spans="1:1">
      <c r="A511" s="9" t="s">
        <v>223</v>
      </c>
    </row>
    <row r="512" spans="1:1">
      <c r="A512" s="9" t="s">
        <v>224</v>
      </c>
    </row>
    <row r="513" spans="1:1">
      <c r="A513" s="9"/>
    </row>
    <row r="514" spans="1:1">
      <c r="A514" s="9" t="s">
        <v>225</v>
      </c>
    </row>
    <row r="515" spans="1:1">
      <c r="A515" s="9"/>
    </row>
    <row r="516" spans="1:1">
      <c r="A516" s="4" t="s">
        <v>226</v>
      </c>
    </row>
    <row r="517" spans="1:1">
      <c r="A517" s="9"/>
    </row>
    <row r="518" spans="1:1">
      <c r="A518" s="9" t="s">
        <v>227</v>
      </c>
    </row>
    <row r="519" spans="1:1">
      <c r="A519" s="9"/>
    </row>
    <row r="520" spans="1:1">
      <c r="A520" s="4" t="s">
        <v>228</v>
      </c>
    </row>
    <row r="521" spans="1:1">
      <c r="A521" s="9"/>
    </row>
    <row r="522" spans="1:1">
      <c r="A522" s="9" t="s">
        <v>154</v>
      </c>
    </row>
    <row r="523" spans="1:1">
      <c r="A523" s="9"/>
    </row>
    <row r="524" spans="1:1">
      <c r="A524" s="4" t="s">
        <v>229</v>
      </c>
    </row>
    <row r="525" spans="1:1">
      <c r="A525" s="9"/>
    </row>
    <row r="526" ht="17.5" spans="1:1">
      <c r="A526" s="26" t="s">
        <v>178</v>
      </c>
    </row>
    <row r="527" spans="1:1">
      <c r="A527" s="9"/>
    </row>
    <row r="528" spans="1:1">
      <c r="A528" s="9" t="s">
        <v>230</v>
      </c>
    </row>
    <row r="529" spans="1:1">
      <c r="A529" s="9"/>
    </row>
    <row r="530" spans="1:1">
      <c r="A530" s="9"/>
    </row>
    <row r="531" spans="1:1">
      <c r="A531" s="9"/>
    </row>
    <row r="532" ht="31" spans="1:1">
      <c r="A532" s="29" t="s">
        <v>231</v>
      </c>
    </row>
    <row r="533" spans="1:1">
      <c r="A533" s="9"/>
    </row>
    <row r="534" spans="1:1">
      <c r="A534" s="9" t="s">
        <v>16</v>
      </c>
    </row>
    <row r="535" spans="1:1">
      <c r="A535" s="9"/>
    </row>
    <row r="536" spans="1:1">
      <c r="A536" s="4" t="s">
        <v>232</v>
      </c>
    </row>
    <row r="537" spans="1:1">
      <c r="A537" s="9"/>
    </row>
    <row r="538" spans="1:1">
      <c r="A538" s="9" t="s">
        <v>233</v>
      </c>
    </row>
    <row r="539" spans="1:1">
      <c r="A539" s="9"/>
    </row>
    <row r="540" ht="17.5" spans="1:1">
      <c r="A540" s="26" t="s">
        <v>234</v>
      </c>
    </row>
    <row r="541" spans="1:1">
      <c r="A541" s="9"/>
    </row>
    <row r="542" spans="1:1">
      <c r="A542" s="9" t="s">
        <v>235</v>
      </c>
    </row>
    <row r="543" spans="1:1">
      <c r="A543" s="9"/>
    </row>
    <row r="544" spans="1:1">
      <c r="A544" s="4" t="s">
        <v>236</v>
      </c>
    </row>
    <row r="545" spans="1:1">
      <c r="A545" s="9"/>
    </row>
    <row r="546" spans="1:1">
      <c r="A546" s="9" t="s">
        <v>237</v>
      </c>
    </row>
    <row r="547" spans="1:1">
      <c r="A547" s="9"/>
    </row>
    <row r="548" spans="1:1">
      <c r="A548" s="4" t="s">
        <v>238</v>
      </c>
    </row>
    <row r="549" spans="1:1">
      <c r="A549" s="9"/>
    </row>
    <row r="550" spans="1:1">
      <c r="A550" s="4" t="s">
        <v>239</v>
      </c>
    </row>
    <row r="551" spans="1:1">
      <c r="A551" s="9"/>
    </row>
    <row r="552" spans="1:1">
      <c r="A552" s="9"/>
    </row>
    <row r="553" spans="1:1">
      <c r="A553" s="9"/>
    </row>
    <row r="554" ht="17.5" spans="1:1">
      <c r="A554" s="26" t="s">
        <v>240</v>
      </c>
    </row>
    <row r="555" spans="1:1">
      <c r="A555" s="9"/>
    </row>
    <row r="556" spans="1:1">
      <c r="A556" s="9" t="s">
        <v>235</v>
      </c>
    </row>
    <row r="557" spans="1:1">
      <c r="A557" s="9"/>
    </row>
    <row r="558" spans="1:1">
      <c r="A558" s="4" t="s">
        <v>241</v>
      </c>
    </row>
    <row r="559" spans="1:1">
      <c r="A559" s="9"/>
    </row>
    <row r="560" spans="1:1">
      <c r="A560" s="9" t="s">
        <v>237</v>
      </c>
    </row>
    <row r="561" spans="1:1">
      <c r="A561" s="9"/>
    </row>
    <row r="562" spans="1:1">
      <c r="A562" s="4" t="s">
        <v>238</v>
      </c>
    </row>
    <row r="563" spans="1:1">
      <c r="A563" s="9"/>
    </row>
    <row r="564" spans="1:1">
      <c r="A564" s="4" t="s">
        <v>242</v>
      </c>
    </row>
    <row r="565" spans="1:1">
      <c r="A565" s="9"/>
    </row>
    <row r="566" spans="1:1">
      <c r="A566" s="9"/>
    </row>
    <row r="567" spans="1:1">
      <c r="A567" s="9"/>
    </row>
    <row r="568" ht="17.5" spans="1:1">
      <c r="A568" s="26" t="s">
        <v>243</v>
      </c>
    </row>
    <row r="569" spans="1:1">
      <c r="A569" s="9"/>
    </row>
    <row r="570" spans="1:1">
      <c r="A570" s="9" t="s">
        <v>235</v>
      </c>
    </row>
    <row r="571" spans="1:1">
      <c r="A571" s="9"/>
    </row>
    <row r="572" spans="1:1">
      <c r="A572" s="4" t="s">
        <v>244</v>
      </c>
    </row>
    <row r="573" spans="1:1">
      <c r="A573" s="9"/>
    </row>
    <row r="574" spans="1:1">
      <c r="A574" s="9" t="s">
        <v>237</v>
      </c>
    </row>
    <row r="575" spans="1:1">
      <c r="A575" s="9"/>
    </row>
    <row r="576" spans="1:1">
      <c r="A576" s="4" t="s">
        <v>245</v>
      </c>
    </row>
    <row r="577" spans="1:1">
      <c r="A577" s="9"/>
    </row>
    <row r="578" spans="1:1">
      <c r="A578" s="4" t="s">
        <v>246</v>
      </c>
    </row>
    <row r="579" spans="1:1">
      <c r="A579" s="9"/>
    </row>
    <row r="580" spans="1:1">
      <c r="A580" s="9"/>
    </row>
    <row r="581" spans="1:1">
      <c r="A581" s="9"/>
    </row>
    <row r="582" ht="17.5" spans="1:1">
      <c r="A582" s="26" t="s">
        <v>247</v>
      </c>
    </row>
    <row r="583" spans="1:1">
      <c r="A583" s="9"/>
    </row>
    <row r="584" spans="1:1">
      <c r="A584" s="9" t="s">
        <v>235</v>
      </c>
    </row>
    <row r="585" spans="1:1">
      <c r="A585" s="9"/>
    </row>
    <row r="586" spans="1:1">
      <c r="A586" s="4" t="s">
        <v>248</v>
      </c>
    </row>
    <row r="587" spans="1:1">
      <c r="A587" s="9"/>
    </row>
    <row r="588" spans="1:1">
      <c r="A588" s="9" t="s">
        <v>237</v>
      </c>
    </row>
    <row r="589" spans="1:1">
      <c r="A589" s="9"/>
    </row>
    <row r="590" spans="1:1">
      <c r="A590" s="4" t="s">
        <v>249</v>
      </c>
    </row>
    <row r="591" spans="1:1">
      <c r="A591" s="9"/>
    </row>
    <row r="592" spans="1:1">
      <c r="A592" s="9" t="s">
        <v>154</v>
      </c>
    </row>
    <row r="593" spans="1:1">
      <c r="A593" s="9"/>
    </row>
    <row r="594" spans="1:1">
      <c r="A594" s="4" t="s">
        <v>250</v>
      </c>
    </row>
    <row r="595" spans="1:1">
      <c r="A595" s="9"/>
    </row>
    <row r="596" spans="1:1">
      <c r="A596" s="9"/>
    </row>
    <row r="597" spans="1:1">
      <c r="A597" s="9"/>
    </row>
    <row r="598" ht="31" spans="1:1">
      <c r="A598" s="29" t="s">
        <v>251</v>
      </c>
    </row>
    <row r="599" spans="1:1">
      <c r="A599" s="9"/>
    </row>
    <row r="600" spans="1:1">
      <c r="A600" s="9" t="s">
        <v>16</v>
      </c>
    </row>
    <row r="601" spans="1:1">
      <c r="A601" s="9"/>
    </row>
    <row r="602" spans="1:1">
      <c r="A602" s="4" t="s">
        <v>252</v>
      </c>
    </row>
    <row r="603" spans="1:1">
      <c r="A603" s="9"/>
    </row>
    <row r="604" spans="1:1">
      <c r="A604" s="9" t="s">
        <v>221</v>
      </c>
    </row>
    <row r="605" spans="1:1">
      <c r="A605" s="9"/>
    </row>
    <row r="606" spans="1:1">
      <c r="A606" s="4" t="s">
        <v>253</v>
      </c>
    </row>
    <row r="607" spans="1:1">
      <c r="A607" s="9"/>
    </row>
    <row r="608" spans="1:1">
      <c r="A608" s="9" t="s">
        <v>152</v>
      </c>
    </row>
    <row r="609" spans="1:1">
      <c r="A609" s="9"/>
    </row>
    <row r="610" spans="1:1">
      <c r="A610" s="4" t="s">
        <v>254</v>
      </c>
    </row>
    <row r="611" spans="1:1">
      <c r="A611" s="9"/>
    </row>
    <row r="612" spans="1:1">
      <c r="A612" s="9" t="s">
        <v>255</v>
      </c>
    </row>
    <row r="613" spans="1:1">
      <c r="A613" s="9"/>
    </row>
    <row r="614" spans="1:1">
      <c r="A614" s="9"/>
    </row>
    <row r="615" spans="1:1">
      <c r="A615" s="9"/>
    </row>
    <row r="616" ht="23" spans="1:1">
      <c r="A616" s="28" t="s">
        <v>256</v>
      </c>
    </row>
    <row r="617" spans="1:1">
      <c r="A617" s="9"/>
    </row>
    <row r="618" spans="1:1">
      <c r="A618" s="9" t="s">
        <v>257</v>
      </c>
    </row>
    <row r="619" spans="1:1">
      <c r="A619" s="9"/>
    </row>
    <row r="620" spans="1:1">
      <c r="A620" s="4" t="s">
        <v>258</v>
      </c>
    </row>
    <row r="621" spans="1:1">
      <c r="A621" s="9"/>
    </row>
    <row r="622" spans="1:1">
      <c r="A622" s="9" t="s">
        <v>192</v>
      </c>
    </row>
    <row r="623" spans="1:1">
      <c r="A623" s="9"/>
    </row>
    <row r="624" spans="1:1">
      <c r="A624" s="9" t="s">
        <v>259</v>
      </c>
    </row>
    <row r="625" spans="1:1">
      <c r="A625" s="9"/>
    </row>
    <row r="626" spans="1:1">
      <c r="A626" s="9" t="s">
        <v>260</v>
      </c>
    </row>
    <row r="627" spans="1:1">
      <c r="A627" s="9"/>
    </row>
    <row r="628" spans="1:1">
      <c r="A628" s="27" t="s">
        <v>261</v>
      </c>
    </row>
    <row r="629" spans="1:1">
      <c r="A629" s="9"/>
    </row>
    <row r="630" spans="1:1">
      <c r="A630" s="27" t="s">
        <v>262</v>
      </c>
    </row>
    <row r="631" spans="1:1">
      <c r="A631" s="9"/>
    </row>
    <row r="632" spans="1:1">
      <c r="A632" s="27" t="s">
        <v>263</v>
      </c>
    </row>
    <row r="633" spans="1:1">
      <c r="A633" s="9"/>
    </row>
    <row r="634" spans="1:1">
      <c r="A634" s="9" t="s">
        <v>73</v>
      </c>
    </row>
    <row r="635" spans="1:1">
      <c r="A635" s="9"/>
    </row>
    <row r="636" spans="1:1">
      <c r="A636" s="4" t="s">
        <v>264</v>
      </c>
    </row>
    <row r="637" spans="1:1">
      <c r="A637" s="9"/>
    </row>
    <row r="638" spans="1:1">
      <c r="A638" s="4" t="s">
        <v>265</v>
      </c>
    </row>
    <row r="639" spans="1:1">
      <c r="A639" s="9"/>
    </row>
    <row r="640" spans="1:1">
      <c r="A640" s="9"/>
    </row>
    <row r="641" spans="1:1">
      <c r="A641" s="9"/>
    </row>
    <row r="642" ht="23" spans="1:1">
      <c r="A642" s="28" t="s">
        <v>266</v>
      </c>
    </row>
    <row r="643" spans="1:1">
      <c r="A643" s="9"/>
    </row>
    <row r="644" spans="1:1">
      <c r="A644" s="9" t="s">
        <v>257</v>
      </c>
    </row>
    <row r="645" spans="1:1">
      <c r="A645" s="9"/>
    </row>
    <row r="646" spans="1:1">
      <c r="A646" s="4" t="s">
        <v>267</v>
      </c>
    </row>
    <row r="647" spans="1:1">
      <c r="A647" s="9"/>
    </row>
    <row r="648" spans="1:1">
      <c r="A648" s="9" t="s">
        <v>169</v>
      </c>
    </row>
    <row r="649" spans="1:1">
      <c r="A649" s="9"/>
    </row>
    <row r="650" spans="1:1">
      <c r="A650" s="27" t="s">
        <v>268</v>
      </c>
    </row>
    <row r="651" spans="1:1">
      <c r="A651" s="9"/>
    </row>
    <row r="652" spans="1:1">
      <c r="A652" s="27" t="s">
        <v>269</v>
      </c>
    </row>
    <row r="653" spans="1:1">
      <c r="A653" s="9"/>
    </row>
    <row r="654" spans="1:1">
      <c r="A654" s="27" t="s">
        <v>270</v>
      </c>
    </row>
    <row r="655" spans="1:1">
      <c r="A655" s="9"/>
    </row>
    <row r="656" spans="1:1">
      <c r="A656" s="27" t="s">
        <v>271</v>
      </c>
    </row>
    <row r="657" spans="1:1">
      <c r="A657" s="9"/>
    </row>
    <row r="658" spans="1:1">
      <c r="A658" s="9" t="s">
        <v>272</v>
      </c>
    </row>
    <row r="659" spans="1:1">
      <c r="A659" s="9"/>
    </row>
    <row r="660" spans="1:1">
      <c r="A660" s="4" t="s">
        <v>273</v>
      </c>
    </row>
    <row r="661" spans="1:1">
      <c r="A661" s="9"/>
    </row>
    <row r="662" spans="1:1">
      <c r="A662" s="9"/>
    </row>
    <row r="663" spans="1:1">
      <c r="A663" s="9"/>
    </row>
    <row r="664" ht="23" spans="1:1">
      <c r="A664" s="28" t="s">
        <v>274</v>
      </c>
    </row>
    <row r="665" spans="1:1">
      <c r="A665" s="9"/>
    </row>
    <row r="666" spans="1:1">
      <c r="A666" s="9" t="s">
        <v>257</v>
      </c>
    </row>
    <row r="667" spans="1:1">
      <c r="A667" s="9"/>
    </row>
    <row r="668" spans="1:1">
      <c r="A668" s="4" t="s">
        <v>275</v>
      </c>
    </row>
    <row r="669" spans="1:1">
      <c r="A669" s="9"/>
    </row>
    <row r="670" spans="1:1">
      <c r="A670" s="9" t="s">
        <v>276</v>
      </c>
    </row>
    <row r="671" spans="1:1">
      <c r="A671" s="9"/>
    </row>
    <row r="672" spans="1:1">
      <c r="A672" s="27" t="s">
        <v>277</v>
      </c>
    </row>
    <row r="673" spans="1:1">
      <c r="A673" s="9"/>
    </row>
    <row r="674" spans="1:1">
      <c r="A674" s="27" t="s">
        <v>278</v>
      </c>
    </row>
    <row r="675" spans="1:1">
      <c r="A675" s="9"/>
    </row>
    <row r="676" spans="1:1">
      <c r="A676" s="27" t="s">
        <v>279</v>
      </c>
    </row>
    <row r="677" spans="1:1">
      <c r="A677" s="9"/>
    </row>
    <row r="678" spans="1:1">
      <c r="A678" s="27" t="s">
        <v>280</v>
      </c>
    </row>
    <row r="679" spans="1:1">
      <c r="A679" s="9"/>
    </row>
    <row r="680" spans="1:1">
      <c r="A680" s="9" t="s">
        <v>73</v>
      </c>
    </row>
    <row r="681" spans="1:1">
      <c r="A681" s="9"/>
    </row>
    <row r="682" spans="1:1">
      <c r="A682" s="4" t="s">
        <v>281</v>
      </c>
    </row>
    <row r="683" spans="1:1">
      <c r="A683" s="9"/>
    </row>
    <row r="684" spans="1:1">
      <c r="A684" s="9"/>
    </row>
    <row r="685" spans="1:1">
      <c r="A685" s="9"/>
    </row>
    <row r="686" ht="23" spans="1:1">
      <c r="A686" s="28" t="s">
        <v>282</v>
      </c>
    </row>
    <row r="687" spans="1:1">
      <c r="A687" s="9"/>
    </row>
    <row r="688" spans="1:1">
      <c r="A688" s="9" t="s">
        <v>257</v>
      </c>
    </row>
    <row r="689" spans="1:1">
      <c r="A689" s="9"/>
    </row>
    <row r="690" spans="1:1">
      <c r="A690" s="4" t="s">
        <v>283</v>
      </c>
    </row>
    <row r="691" spans="1:1">
      <c r="A691" s="9"/>
    </row>
    <row r="692" spans="1:1">
      <c r="A692" s="9" t="s">
        <v>276</v>
      </c>
    </row>
    <row r="693" spans="1:1">
      <c r="A693" s="9"/>
    </row>
    <row r="694" spans="1:1">
      <c r="A694" s="9" t="s">
        <v>284</v>
      </c>
    </row>
    <row r="695" spans="1:1">
      <c r="A695" s="9"/>
    </row>
    <row r="696" spans="1:1">
      <c r="A696" s="9" t="s">
        <v>285</v>
      </c>
    </row>
    <row r="697" spans="1:1">
      <c r="A697" s="9"/>
    </row>
    <row r="698" spans="1:1">
      <c r="A698" s="27" t="s">
        <v>33</v>
      </c>
    </row>
    <row r="699" spans="1:1">
      <c r="A699" s="9"/>
    </row>
    <row r="700" spans="1:1">
      <c r="A700" s="27" t="s">
        <v>34</v>
      </c>
    </row>
    <row r="701" spans="1:1">
      <c r="A701" s="9"/>
    </row>
    <row r="702" spans="1:1">
      <c r="A702" s="27" t="s">
        <v>35</v>
      </c>
    </row>
    <row r="703" spans="1:1">
      <c r="A703" s="9"/>
    </row>
    <row r="704" spans="1:1">
      <c r="A704" s="27" t="s">
        <v>36</v>
      </c>
    </row>
    <row r="705" spans="1:1">
      <c r="A705" s="9"/>
    </row>
    <row r="706" spans="1:1">
      <c r="A706" s="27" t="s">
        <v>37</v>
      </c>
    </row>
    <row r="707" spans="1:1">
      <c r="A707" s="9"/>
    </row>
    <row r="708" spans="1:1">
      <c r="A708" s="9" t="s">
        <v>45</v>
      </c>
    </row>
    <row r="709" spans="1:1">
      <c r="A709" s="9"/>
    </row>
    <row r="710" spans="1:1">
      <c r="A710" s="4" t="s">
        <v>286</v>
      </c>
    </row>
    <row r="711" spans="1:1">
      <c r="A711" s="9"/>
    </row>
    <row r="712" spans="1:1">
      <c r="A712" s="9" t="s">
        <v>202</v>
      </c>
    </row>
    <row r="713" spans="1:1">
      <c r="A713" s="9"/>
    </row>
    <row r="714" spans="1:1">
      <c r="A714" s="4" t="s">
        <v>287</v>
      </c>
    </row>
    <row r="715" spans="1:1">
      <c r="A715" s="9"/>
    </row>
    <row r="716" spans="1:1">
      <c r="A716" s="9"/>
    </row>
    <row r="717" spans="1:1">
      <c r="A717" s="9"/>
    </row>
    <row r="718" ht="23" spans="1:1">
      <c r="A718" s="28" t="s">
        <v>288</v>
      </c>
    </row>
    <row r="719" spans="1:1">
      <c r="A719" s="9"/>
    </row>
    <row r="720" spans="1:1">
      <c r="A720" s="9" t="s">
        <v>257</v>
      </c>
    </row>
    <row r="721" spans="1:1">
      <c r="A721" s="9"/>
    </row>
    <row r="722" spans="1:1">
      <c r="A722" s="4" t="s">
        <v>289</v>
      </c>
    </row>
    <row r="723" spans="1:1">
      <c r="A723" s="9"/>
    </row>
    <row r="724" spans="1:1">
      <c r="A724" s="9" t="s">
        <v>276</v>
      </c>
    </row>
    <row r="725" spans="1:1">
      <c r="A725" s="9"/>
    </row>
    <row r="726" spans="1:1">
      <c r="A726" s="9" t="s">
        <v>290</v>
      </c>
    </row>
    <row r="727" spans="1:1">
      <c r="A727" s="9"/>
    </row>
    <row r="728" spans="1:1">
      <c r="A728" s="9" t="s">
        <v>73</v>
      </c>
    </row>
    <row r="729" spans="1:1">
      <c r="A729" s="9"/>
    </row>
    <row r="730" spans="1:1">
      <c r="A730" s="27" t="s">
        <v>291</v>
      </c>
    </row>
    <row r="731" spans="1:1">
      <c r="A731" s="9"/>
    </row>
    <row r="732" spans="1:1">
      <c r="A732" s="27" t="s">
        <v>292</v>
      </c>
    </row>
    <row r="733" spans="1:1">
      <c r="A733" s="9"/>
    </row>
    <row r="734" spans="1:1">
      <c r="A734" s="9" t="s">
        <v>202</v>
      </c>
    </row>
    <row r="735" spans="1:1">
      <c r="A735" s="9"/>
    </row>
    <row r="736" spans="1:1">
      <c r="A736" s="4" t="s">
        <v>293</v>
      </c>
    </row>
    <row r="737" spans="1:1">
      <c r="A737" s="9"/>
    </row>
    <row r="738" spans="1:1">
      <c r="A738" s="9"/>
    </row>
    <row r="739" spans="1:1">
      <c r="A739" s="9"/>
    </row>
    <row r="740" ht="23" spans="1:1">
      <c r="A740" s="28" t="s">
        <v>294</v>
      </c>
    </row>
    <row r="741" spans="1:1">
      <c r="A741" s="9"/>
    </row>
    <row r="742" spans="1:1">
      <c r="A742" s="9" t="s">
        <v>257</v>
      </c>
    </row>
    <row r="743" spans="1:1">
      <c r="A743" s="9"/>
    </row>
    <row r="744" spans="1:1">
      <c r="A744" s="4" t="s">
        <v>295</v>
      </c>
    </row>
    <row r="745" spans="1:1">
      <c r="A745" s="9"/>
    </row>
    <row r="746" spans="1:1">
      <c r="A746" s="9" t="s">
        <v>276</v>
      </c>
    </row>
    <row r="747" spans="1:1">
      <c r="A747" s="9"/>
    </row>
    <row r="748" spans="1:1">
      <c r="A748" s="9" t="s">
        <v>296</v>
      </c>
    </row>
    <row r="749" spans="1:1">
      <c r="A749" s="9"/>
    </row>
    <row r="750" spans="1:1">
      <c r="A750" s="9" t="s">
        <v>202</v>
      </c>
    </row>
    <row r="751" spans="1:1">
      <c r="A751" s="9"/>
    </row>
    <row r="752" spans="1:1">
      <c r="A752" s="4" t="s">
        <v>297</v>
      </c>
    </row>
    <row r="753" spans="1:1">
      <c r="A753" s="9"/>
    </row>
    <row r="754" spans="1:1">
      <c r="A754" s="9" t="s">
        <v>154</v>
      </c>
    </row>
    <row r="755" spans="1:1">
      <c r="A755" s="9"/>
    </row>
    <row r="756" spans="1:1">
      <c r="A756" s="4" t="s">
        <v>298</v>
      </c>
    </row>
    <row r="757" spans="1:1">
      <c r="A757" s="9"/>
    </row>
    <row r="758" ht="17.5" spans="1:1">
      <c r="A758" s="26" t="s">
        <v>178</v>
      </c>
    </row>
    <row r="759" spans="1:1">
      <c r="A759" s="9"/>
    </row>
    <row r="760" spans="1:1">
      <c r="A760" s="9" t="s">
        <v>299</v>
      </c>
    </row>
    <row r="761" spans="1:1">
      <c r="A761" s="9"/>
    </row>
    <row r="762" spans="1:1">
      <c r="A762" s="9"/>
    </row>
    <row r="763" spans="1:1">
      <c r="A763" s="9"/>
    </row>
    <row r="764" ht="31" spans="1:1">
      <c r="A764" s="29" t="s">
        <v>300</v>
      </c>
    </row>
    <row r="765" spans="1:1">
      <c r="A765" s="9"/>
    </row>
    <row r="766" spans="1:1">
      <c r="A766" s="9" t="s">
        <v>16</v>
      </c>
    </row>
    <row r="767" spans="1:1">
      <c r="A767" s="9"/>
    </row>
    <row r="768" spans="1:1">
      <c r="A768" s="4" t="s">
        <v>301</v>
      </c>
    </row>
    <row r="769" spans="1:1">
      <c r="A769" s="9"/>
    </row>
    <row r="770" spans="1:1">
      <c r="A770" s="9" t="s">
        <v>302</v>
      </c>
    </row>
    <row r="771" spans="1:1">
      <c r="A771" s="9"/>
    </row>
    <row r="772" ht="17.5" spans="1:1">
      <c r="A772" s="26" t="s">
        <v>303</v>
      </c>
    </row>
    <row r="773" spans="1:1">
      <c r="A773" s="9"/>
    </row>
    <row r="774" spans="1:1">
      <c r="A774" s="9" t="s">
        <v>304</v>
      </c>
    </row>
    <row r="775" spans="1:1">
      <c r="A775" s="9"/>
    </row>
    <row r="776" spans="1:1">
      <c r="A776" s="4" t="s">
        <v>305</v>
      </c>
    </row>
    <row r="777" spans="1:1">
      <c r="A777" s="9"/>
    </row>
    <row r="778" spans="1:1">
      <c r="A778" s="9"/>
    </row>
    <row r="779" spans="1:1">
      <c r="A779" s="9"/>
    </row>
    <row r="780" ht="17.5" spans="1:1">
      <c r="A780" s="26" t="s">
        <v>306</v>
      </c>
    </row>
    <row r="781" spans="1:1">
      <c r="A781" s="9"/>
    </row>
    <row r="782" spans="1:1">
      <c r="A782" s="9" t="s">
        <v>304</v>
      </c>
    </row>
    <row r="783" spans="1:1">
      <c r="A783" s="9"/>
    </row>
    <row r="784" spans="1:1">
      <c r="A784" s="27" t="s">
        <v>307</v>
      </c>
    </row>
    <row r="785" spans="1:1">
      <c r="A785" s="9"/>
    </row>
    <row r="786" spans="1:1">
      <c r="A786" s="27" t="s">
        <v>308</v>
      </c>
    </row>
    <row r="787" spans="1:1">
      <c r="A787" s="9"/>
    </row>
    <row r="788" spans="1:1">
      <c r="A788" s="9"/>
    </row>
    <row r="789" spans="1:1">
      <c r="A789" s="9"/>
    </row>
    <row r="790" ht="17.5" spans="1:1">
      <c r="A790" s="26" t="s">
        <v>309</v>
      </c>
    </row>
    <row r="791" spans="1:1">
      <c r="A791" s="9"/>
    </row>
    <row r="792" spans="1:1">
      <c r="A792" s="9" t="s">
        <v>304</v>
      </c>
    </row>
    <row r="793" spans="1:1">
      <c r="A793" s="9"/>
    </row>
    <row r="794" spans="1:1">
      <c r="A794" s="27" t="s">
        <v>310</v>
      </c>
    </row>
    <row r="795" spans="1:1">
      <c r="A795" s="9"/>
    </row>
    <row r="796" spans="1:1">
      <c r="A796" s="27" t="s">
        <v>311</v>
      </c>
    </row>
    <row r="797" spans="1:1">
      <c r="A797" s="9"/>
    </row>
    <row r="798" spans="1:1">
      <c r="A798" s="27" t="s">
        <v>312</v>
      </c>
    </row>
    <row r="799" spans="1:1">
      <c r="A799" s="9"/>
    </row>
    <row r="800" spans="1:1">
      <c r="A800" s="9" t="s">
        <v>313</v>
      </c>
    </row>
    <row r="801" spans="1:1">
      <c r="A801" s="9"/>
    </row>
    <row r="802" spans="1:1">
      <c r="A802" s="4" t="s">
        <v>314</v>
      </c>
    </row>
    <row r="803" spans="1:1">
      <c r="A803" s="9"/>
    </row>
    <row r="804" spans="1:1">
      <c r="A804" s="9" t="s">
        <v>154</v>
      </c>
    </row>
    <row r="805" spans="1:1">
      <c r="A805" s="9"/>
    </row>
    <row r="806" spans="1:1">
      <c r="A806" s="4" t="s">
        <v>315</v>
      </c>
    </row>
    <row r="807" spans="1:1">
      <c r="A807" s="9"/>
    </row>
    <row r="808" ht="17.5" spans="1:1">
      <c r="A808" s="26" t="s">
        <v>178</v>
      </c>
    </row>
    <row r="809" spans="1:1">
      <c r="A809" s="9"/>
    </row>
    <row r="810" spans="1:1">
      <c r="A810" s="9" t="s">
        <v>316</v>
      </c>
    </row>
    <row r="811" spans="1:1">
      <c r="A811" s="9"/>
    </row>
    <row r="812" spans="1:1">
      <c r="A812" s="9"/>
    </row>
    <row r="813" spans="1:1">
      <c r="A813" s="9"/>
    </row>
    <row r="814" ht="31" spans="1:1">
      <c r="A814" s="29" t="s">
        <v>317</v>
      </c>
    </row>
    <row r="815" spans="1:1">
      <c r="A815" s="9"/>
    </row>
    <row r="816" spans="1:1">
      <c r="A816" s="9" t="s">
        <v>318</v>
      </c>
    </row>
    <row r="817" spans="1:1">
      <c r="A817" s="9"/>
    </row>
    <row r="818" spans="1:1">
      <c r="A818" s="4" t="s">
        <v>319</v>
      </c>
    </row>
    <row r="819" spans="1:1">
      <c r="A819" s="9"/>
    </row>
    <row r="820" spans="1:1">
      <c r="A820" s="9" t="s">
        <v>154</v>
      </c>
    </row>
    <row r="821" spans="1:1">
      <c r="A821" s="9"/>
    </row>
    <row r="822" spans="1:1">
      <c r="A822" s="4" t="s">
        <v>320</v>
      </c>
    </row>
    <row r="823" spans="1:1">
      <c r="A823" s="9"/>
    </row>
    <row r="824" spans="1:1">
      <c r="A824" s="9" t="s">
        <v>321</v>
      </c>
    </row>
    <row r="825" spans="1:1">
      <c r="A825" s="9"/>
    </row>
    <row r="826" ht="17.5" spans="1:1">
      <c r="A826" s="26" t="s">
        <v>322</v>
      </c>
    </row>
    <row r="827" spans="1:1">
      <c r="A827" s="9"/>
    </row>
    <row r="828" spans="1:1">
      <c r="A828" s="4" t="s">
        <v>323</v>
      </c>
    </row>
    <row r="829" spans="1:1">
      <c r="A829" s="9"/>
    </row>
    <row r="830" spans="1:1">
      <c r="A830" s="9" t="s">
        <v>324</v>
      </c>
    </row>
    <row r="831" spans="1:1">
      <c r="A831" s="9"/>
    </row>
    <row r="832" spans="1:1">
      <c r="A832" s="9" t="s">
        <v>325</v>
      </c>
    </row>
    <row r="833" spans="1:1">
      <c r="A833" s="9"/>
    </row>
    <row r="834" spans="1:1">
      <c r="A834" s="4" t="s">
        <v>326</v>
      </c>
    </row>
    <row r="835" spans="1:1">
      <c r="A835" s="9"/>
    </row>
    <row r="836" spans="1:1">
      <c r="A836" s="9" t="s">
        <v>324</v>
      </c>
    </row>
    <row r="837" spans="1:1">
      <c r="A837" s="9"/>
    </row>
    <row r="838" spans="1:1">
      <c r="A838" s="9" t="s">
        <v>325</v>
      </c>
    </row>
    <row r="839" spans="1:1">
      <c r="A839" s="9"/>
    </row>
    <row r="840" spans="1:1">
      <c r="A840" s="4" t="s">
        <v>327</v>
      </c>
    </row>
    <row r="841" spans="1:1">
      <c r="A841" s="9"/>
    </row>
    <row r="842" spans="1:1">
      <c r="A842" s="9" t="s">
        <v>328</v>
      </c>
    </row>
    <row r="843" spans="1:1">
      <c r="A843" s="9" t="s">
        <v>329</v>
      </c>
    </row>
    <row r="844" spans="1:1">
      <c r="A844" s="9"/>
    </row>
    <row r="845" spans="1:1">
      <c r="A845" s="9" t="s">
        <v>324</v>
      </c>
    </row>
    <row r="846" spans="1:1">
      <c r="A846" s="9"/>
    </row>
    <row r="847" spans="1:1">
      <c r="A847" s="9" t="s">
        <v>325</v>
      </c>
    </row>
    <row r="848" spans="1:1">
      <c r="A848" s="9"/>
    </row>
    <row r="849" spans="1:1">
      <c r="A849" s="4" t="s">
        <v>330</v>
      </c>
    </row>
    <row r="850" spans="1:1">
      <c r="A850" s="9"/>
    </row>
    <row r="851" spans="1:1">
      <c r="A851" s="9"/>
    </row>
    <row r="852" spans="1:1">
      <c r="A852" s="9"/>
    </row>
    <row r="853" ht="17.5" spans="1:1">
      <c r="A853" s="26" t="s">
        <v>331</v>
      </c>
    </row>
    <row r="854" spans="1:1">
      <c r="A854" s="9"/>
    </row>
    <row r="855" spans="1:1">
      <c r="A855" s="9" t="s">
        <v>332</v>
      </c>
    </row>
    <row r="856" spans="1:1">
      <c r="A856" s="9"/>
    </row>
    <row r="857" spans="1:1">
      <c r="A857" s="9" t="s">
        <v>333</v>
      </c>
    </row>
    <row r="858" spans="1:1">
      <c r="A858" s="9"/>
    </row>
    <row r="859" spans="1:1">
      <c r="A859" s="9" t="s">
        <v>334</v>
      </c>
    </row>
    <row r="860" spans="1:1">
      <c r="A860" s="9"/>
    </row>
    <row r="861" spans="1:1">
      <c r="A861" s="9" t="s">
        <v>333</v>
      </c>
    </row>
    <row r="862" spans="1:1">
      <c r="A862" s="9"/>
    </row>
    <row r="863" spans="1:1">
      <c r="A863" s="9" t="s">
        <v>335</v>
      </c>
    </row>
    <row r="864" spans="1:1">
      <c r="A864" s="9"/>
    </row>
    <row r="865" spans="1:1">
      <c r="A865" s="9" t="s">
        <v>333</v>
      </c>
    </row>
    <row r="866" spans="1:1">
      <c r="A866" s="9"/>
    </row>
    <row r="867" spans="1:1">
      <c r="A867" s="9" t="s">
        <v>336</v>
      </c>
    </row>
    <row r="868" spans="1:1">
      <c r="A868" s="9"/>
    </row>
    <row r="869" spans="1:1">
      <c r="A869" s="9" t="s">
        <v>333</v>
      </c>
    </row>
    <row r="870" spans="1:1">
      <c r="A870" s="9"/>
    </row>
    <row r="871" spans="1:1">
      <c r="A871" s="9" t="s">
        <v>337</v>
      </c>
    </row>
    <row r="872" spans="1:1">
      <c r="A872" s="9"/>
    </row>
    <row r="873" spans="1:1">
      <c r="A873" s="9" t="s">
        <v>333</v>
      </c>
    </row>
    <row r="874" spans="1:1">
      <c r="A874" s="9"/>
    </row>
    <row r="875" spans="1:1">
      <c r="A875" s="9" t="s">
        <v>338</v>
      </c>
    </row>
    <row r="876" spans="1:1">
      <c r="A876" s="9"/>
    </row>
    <row r="877" spans="1:1">
      <c r="A877" s="9" t="s">
        <v>333</v>
      </c>
    </row>
    <row r="878" spans="1:1">
      <c r="A878" s="9"/>
    </row>
    <row r="879" spans="1:1">
      <c r="A879" s="9" t="s">
        <v>145</v>
      </c>
    </row>
    <row r="880" spans="1:1">
      <c r="A880" s="9"/>
    </row>
    <row r="881" spans="1:1">
      <c r="A881" s="4" t="s">
        <v>339</v>
      </c>
    </row>
    <row r="882" spans="1:1">
      <c r="A882" s="9"/>
    </row>
    <row r="883" spans="1:1">
      <c r="A883" s="4" t="s">
        <v>340</v>
      </c>
    </row>
    <row r="884" spans="1:1">
      <c r="A884" s="9"/>
    </row>
    <row r="885" spans="1:1">
      <c r="A885" s="9"/>
    </row>
    <row r="886" spans="1:1">
      <c r="A886" s="9"/>
    </row>
    <row r="887" ht="31" spans="1:1">
      <c r="A887" s="29" t="s">
        <v>341</v>
      </c>
    </row>
    <row r="888" spans="1:1">
      <c r="A888" s="9"/>
    </row>
    <row r="889" spans="1:1">
      <c r="A889" s="9" t="s">
        <v>342</v>
      </c>
    </row>
    <row r="890" spans="1:1">
      <c r="A890" s="9"/>
    </row>
    <row r="891" spans="1:1">
      <c r="A891" s="4" t="s">
        <v>343</v>
      </c>
    </row>
    <row r="892" spans="1:1">
      <c r="A892" s="9"/>
    </row>
    <row r="893" spans="1:1">
      <c r="A893" s="9" t="s">
        <v>344</v>
      </c>
    </row>
    <row r="894" spans="1:1">
      <c r="A894" s="9"/>
    </row>
    <row r="895" spans="1:1">
      <c r="A895" s="4" t="s">
        <v>345</v>
      </c>
    </row>
    <row r="896" spans="1:1">
      <c r="A896" s="9"/>
    </row>
    <row r="897" spans="1:1">
      <c r="A897" s="9" t="s">
        <v>66</v>
      </c>
    </row>
    <row r="898" spans="1:1">
      <c r="A898" s="9"/>
    </row>
    <row r="899" spans="1:1">
      <c r="A899" s="9" t="s">
        <v>346</v>
      </c>
    </row>
    <row r="900" spans="1:1">
      <c r="A900" s="9"/>
    </row>
    <row r="901" ht="23" spans="1:1">
      <c r="A901" s="28" t="s">
        <v>347</v>
      </c>
    </row>
    <row r="902" spans="1:1">
      <c r="A902" s="9"/>
    </row>
    <row r="903" spans="1:1">
      <c r="A903" s="9" t="s">
        <v>324</v>
      </c>
    </row>
    <row r="904" spans="1:1">
      <c r="A904" s="9"/>
    </row>
    <row r="905" spans="1:1">
      <c r="A905" s="4" t="s">
        <v>348</v>
      </c>
    </row>
    <row r="906" spans="1:1">
      <c r="A906" s="9"/>
    </row>
    <row r="907" spans="1:1">
      <c r="A907" s="9" t="s">
        <v>349</v>
      </c>
    </row>
    <row r="908" spans="1:1">
      <c r="A908" s="9"/>
    </row>
    <row r="909" spans="1:1">
      <c r="A909" s="27" t="s">
        <v>323</v>
      </c>
    </row>
    <row r="910" spans="1:1">
      <c r="A910" s="9"/>
    </row>
    <row r="911" spans="1:1">
      <c r="A911" s="27" t="s">
        <v>326</v>
      </c>
    </row>
    <row r="912" spans="1:1">
      <c r="A912" s="9"/>
    </row>
    <row r="913" spans="1:1">
      <c r="A913" s="27" t="s">
        <v>350</v>
      </c>
    </row>
    <row r="914" spans="1:1">
      <c r="A914" s="9"/>
    </row>
    <row r="915" spans="1:1">
      <c r="A915" s="27" t="s">
        <v>351</v>
      </c>
    </row>
    <row r="916" spans="1:1">
      <c r="A916" s="9"/>
    </row>
    <row r="917" spans="1:1">
      <c r="A917" s="27" t="s">
        <v>352</v>
      </c>
    </row>
    <row r="918" spans="1:1">
      <c r="A918" s="9"/>
    </row>
    <row r="919" spans="1:1">
      <c r="A919" s="27" t="s">
        <v>353</v>
      </c>
    </row>
    <row r="920" spans="1:1">
      <c r="A920" s="9"/>
    </row>
    <row r="921" spans="1:1">
      <c r="A921" s="27" t="s">
        <v>354</v>
      </c>
    </row>
    <row r="922" spans="1:1">
      <c r="A922" s="9"/>
    </row>
    <row r="923" ht="17.5" spans="1:1">
      <c r="A923" s="26" t="s">
        <v>178</v>
      </c>
    </row>
    <row r="924" spans="1:1">
      <c r="A924" s="9"/>
    </row>
    <row r="925" spans="1:1">
      <c r="A925" s="9" t="s">
        <v>355</v>
      </c>
    </row>
    <row r="926" spans="1:1">
      <c r="A926" s="9"/>
    </row>
    <row r="927" spans="1:1">
      <c r="A927" s="9"/>
    </row>
    <row r="928" spans="1:1">
      <c r="A928" s="9"/>
    </row>
    <row r="929" ht="31" spans="1:1">
      <c r="A929" s="29" t="s">
        <v>356</v>
      </c>
    </row>
    <row r="930" spans="1:1">
      <c r="A930" s="9"/>
    </row>
    <row r="931" spans="1:1">
      <c r="A931" s="9" t="s">
        <v>154</v>
      </c>
    </row>
    <row r="932" spans="1:1">
      <c r="A932" s="9"/>
    </row>
    <row r="933" spans="1:1">
      <c r="A933" s="4" t="s">
        <v>357</v>
      </c>
    </row>
    <row r="934" spans="1:1">
      <c r="A934" s="9"/>
    </row>
    <row r="935" spans="1:1">
      <c r="A935" s="9" t="s">
        <v>358</v>
      </c>
    </row>
    <row r="936" spans="1:1">
      <c r="A936" s="9"/>
    </row>
    <row r="937" ht="17.5" spans="1:1">
      <c r="A937" s="26" t="s">
        <v>359</v>
      </c>
    </row>
    <row r="938" spans="1:1">
      <c r="A938" s="9"/>
    </row>
    <row r="939" spans="1:1">
      <c r="A939" s="9" t="s">
        <v>360</v>
      </c>
    </row>
    <row r="940" spans="1:1">
      <c r="A940" s="9"/>
    </row>
    <row r="941" spans="1:1">
      <c r="A941" s="27" t="s">
        <v>361</v>
      </c>
    </row>
    <row r="942" spans="1:1">
      <c r="A942" s="9"/>
    </row>
    <row r="943" spans="1:1">
      <c r="A943" s="27" t="s">
        <v>362</v>
      </c>
    </row>
    <row r="944" spans="1:1">
      <c r="A944" s="9"/>
    </row>
    <row r="945" spans="1:1">
      <c r="A945" s="27" t="s">
        <v>363</v>
      </c>
    </row>
    <row r="946" spans="1:1">
      <c r="A946" s="9"/>
    </row>
    <row r="947" spans="1:1">
      <c r="A947" s="27" t="s">
        <v>364</v>
      </c>
    </row>
    <row r="948" spans="1:1">
      <c r="A948" s="9"/>
    </row>
    <row r="949" spans="1:1">
      <c r="A949" s="27" t="s">
        <v>365</v>
      </c>
    </row>
    <row r="950" spans="1:1">
      <c r="A950" s="9"/>
    </row>
    <row r="951" spans="1:1">
      <c r="A951" s="27" t="s">
        <v>366</v>
      </c>
    </row>
    <row r="952" spans="1:1">
      <c r="A952" s="9"/>
    </row>
    <row r="953" spans="1:1">
      <c r="A953" s="27" t="s">
        <v>367</v>
      </c>
    </row>
    <row r="954" spans="1:1">
      <c r="A954" s="9"/>
    </row>
    <row r="955" spans="1:1">
      <c r="A955" s="27" t="s">
        <v>368</v>
      </c>
    </row>
    <row r="956" spans="1:1">
      <c r="A956" s="9"/>
    </row>
    <row r="957" spans="1:1">
      <c r="A957" s="27" t="s">
        <v>369</v>
      </c>
    </row>
    <row r="958" spans="1:1">
      <c r="A958" s="9"/>
    </row>
    <row r="959" spans="1:1">
      <c r="A959" s="27" t="s">
        <v>370</v>
      </c>
    </row>
    <row r="960" spans="1:1">
      <c r="A960" s="9"/>
    </row>
    <row r="961" spans="1:1">
      <c r="A961" s="27" t="s">
        <v>371</v>
      </c>
    </row>
    <row r="962" spans="1:1">
      <c r="A962" s="9"/>
    </row>
    <row r="963" spans="1:1">
      <c r="A963" s="27" t="s">
        <v>372</v>
      </c>
    </row>
    <row r="964" spans="1:1">
      <c r="A964" s="9"/>
    </row>
    <row r="965" spans="1:1">
      <c r="A965" s="9" t="s">
        <v>373</v>
      </c>
    </row>
    <row r="966" spans="1:1">
      <c r="A966" s="9"/>
    </row>
    <row r="967" spans="1:1">
      <c r="A967" s="4" t="s">
        <v>86</v>
      </c>
    </row>
    <row r="968" spans="1:1">
      <c r="A968" s="9"/>
    </row>
    <row r="969" spans="1:1">
      <c r="A969" s="9" t="s">
        <v>154</v>
      </c>
    </row>
    <row r="970" spans="1:1">
      <c r="A970" s="9"/>
    </row>
    <row r="971" spans="1:1">
      <c r="A971" s="4" t="s">
        <v>374</v>
      </c>
    </row>
    <row r="972" spans="1:1">
      <c r="A972" s="9"/>
    </row>
    <row r="973" spans="1:1">
      <c r="A973" s="9"/>
    </row>
    <row r="974" spans="1:1">
      <c r="A974" s="9"/>
    </row>
    <row r="975" ht="31" spans="1:1">
      <c r="A975" s="29" t="s">
        <v>375</v>
      </c>
    </row>
    <row r="976" spans="1:1">
      <c r="A976" s="9"/>
    </row>
    <row r="977" spans="1:1">
      <c r="A977" s="9" t="s">
        <v>154</v>
      </c>
    </row>
    <row r="978" spans="1:1">
      <c r="A978" s="9"/>
    </row>
    <row r="979" spans="1:1">
      <c r="A979" s="4" t="s">
        <v>376</v>
      </c>
    </row>
    <row r="980" spans="1:1">
      <c r="A980" s="9"/>
    </row>
    <row r="981" spans="1:1">
      <c r="A981" s="9" t="s">
        <v>377</v>
      </c>
    </row>
    <row r="982" spans="1:1">
      <c r="A982" s="9"/>
    </row>
    <row r="983" spans="1:1">
      <c r="A983" s="27" t="s">
        <v>93</v>
      </c>
    </row>
    <row r="984" spans="1:1">
      <c r="A984" s="9"/>
    </row>
    <row r="985" spans="1:1">
      <c r="A985" s="27" t="s">
        <v>100</v>
      </c>
    </row>
    <row r="986" spans="1:1">
      <c r="A986" s="9"/>
    </row>
    <row r="987" spans="1:1">
      <c r="A987" s="27" t="s">
        <v>106</v>
      </c>
    </row>
    <row r="988" spans="1:1">
      <c r="A988" s="9"/>
    </row>
    <row r="989" spans="1:1">
      <c r="A989" s="27" t="s">
        <v>378</v>
      </c>
    </row>
    <row r="990" spans="1:1">
      <c r="A990" s="9"/>
    </row>
    <row r="991" spans="1:1">
      <c r="A991" s="9" t="s">
        <v>379</v>
      </c>
    </row>
    <row r="992" spans="1:1">
      <c r="A992" s="9"/>
    </row>
    <row r="993" spans="1:1">
      <c r="A993" s="4" t="s">
        <v>380</v>
      </c>
    </row>
    <row r="994" spans="1:1">
      <c r="A994" s="9"/>
    </row>
    <row r="995" spans="1:1">
      <c r="A995" s="4" t="s">
        <v>359</v>
      </c>
    </row>
    <row r="996" spans="1:1">
      <c r="A996" s="9"/>
    </row>
    <row r="997" spans="1:1">
      <c r="A997" s="4" t="s">
        <v>354</v>
      </c>
    </row>
    <row r="998" spans="1:1">
      <c r="A998" s="9"/>
    </row>
    <row r="999" spans="1:1">
      <c r="A999" s="9" t="s">
        <v>154</v>
      </c>
    </row>
    <row r="1000" spans="1:1">
      <c r="A1000" s="9"/>
    </row>
    <row r="1001" spans="1:1">
      <c r="A1001" s="4" t="s">
        <v>381</v>
      </c>
    </row>
    <row r="1002" spans="1:1">
      <c r="A1002" s="9"/>
    </row>
    <row r="1003" spans="1:1">
      <c r="A1003" s="9" t="s">
        <v>152</v>
      </c>
    </row>
    <row r="1004" spans="1:1">
      <c r="A1004" s="9"/>
    </row>
    <row r="1005" ht="23" spans="1:1">
      <c r="A1005" s="28" t="s">
        <v>382</v>
      </c>
    </row>
    <row r="1006" spans="1:1">
      <c r="A1006" s="9"/>
    </row>
    <row r="1007" spans="1:1">
      <c r="A1007" s="9"/>
    </row>
    <row r="1008" spans="1:1">
      <c r="A1008" s="9"/>
    </row>
    <row r="1009" ht="31" spans="1:1">
      <c r="A1009" s="29" t="s">
        <v>383</v>
      </c>
    </row>
    <row r="1010" spans="1:1">
      <c r="A1010" s="9"/>
    </row>
    <row r="1011" spans="1:1">
      <c r="A1011" s="9" t="s">
        <v>384</v>
      </c>
    </row>
    <row r="1012" spans="1:1">
      <c r="A1012" s="9"/>
    </row>
    <row r="1013" spans="1:1">
      <c r="A1013" s="9" t="s">
        <v>385</v>
      </c>
    </row>
    <row r="1014" spans="1:1">
      <c r="A1014" s="9"/>
    </row>
    <row r="1015" spans="1:1">
      <c r="A1015" s="9" t="s">
        <v>386</v>
      </c>
    </row>
    <row r="1016" spans="1:1">
      <c r="A1016" s="9"/>
    </row>
    <row r="1017" spans="1:1">
      <c r="A1017" s="9" t="s">
        <v>387</v>
      </c>
    </row>
    <row r="1020" s="10" customFormat="1"/>
    <row r="1022" ht="17.5" spans="1:1">
      <c r="A1022" s="26" t="s">
        <v>388</v>
      </c>
    </row>
    <row r="1023" spans="1:1">
      <c r="A1023" s="9"/>
    </row>
    <row r="1024" spans="1:1">
      <c r="A1024" s="4" t="s">
        <v>389</v>
      </c>
    </row>
    <row r="1025" spans="1:1">
      <c r="A1025" s="9"/>
    </row>
    <row r="1026" spans="1:1">
      <c r="A1026" s="9" t="s">
        <v>16</v>
      </c>
    </row>
    <row r="1027" spans="1:1">
      <c r="A1027" s="9"/>
    </row>
    <row r="1028" spans="1:1">
      <c r="A1028" s="4" t="s">
        <v>390</v>
      </c>
    </row>
    <row r="1029" spans="1:1">
      <c r="A1029" s="9"/>
    </row>
    <row r="1030" spans="1:1">
      <c r="A1030" s="9" t="s">
        <v>391</v>
      </c>
    </row>
    <row r="1031" spans="1:1">
      <c r="A1031" s="9"/>
    </row>
    <row r="1032" spans="1:1">
      <c r="A1032" s="27" t="s">
        <v>392</v>
      </c>
    </row>
    <row r="1033" spans="1:1">
      <c r="A1033" s="27" t="s">
        <v>393</v>
      </c>
    </row>
    <row r="1034" spans="1:1">
      <c r="A1034" s="27" t="s">
        <v>394</v>
      </c>
    </row>
    <row r="1035" spans="1:1">
      <c r="A1035" s="27" t="s">
        <v>395</v>
      </c>
    </row>
    <row r="1036" spans="1:1">
      <c r="A1036" s="27" t="s">
        <v>396</v>
      </c>
    </row>
    <row r="1037" spans="1:1">
      <c r="A1037" s="27" t="s">
        <v>397</v>
      </c>
    </row>
    <row r="1038" spans="1:1">
      <c r="A1038" s="9"/>
    </row>
    <row r="1039" spans="1:1">
      <c r="A1039" s="9" t="s">
        <v>398</v>
      </c>
    </row>
    <row r="1040" spans="1:1">
      <c r="A1040" s="9"/>
    </row>
    <row r="1041" spans="1:1">
      <c r="A1041" s="4" t="s">
        <v>399</v>
      </c>
    </row>
    <row r="1042" spans="1:1">
      <c r="A1042" s="9"/>
    </row>
    <row r="1043" spans="1:1">
      <c r="A1043" s="9" t="s">
        <v>154</v>
      </c>
    </row>
    <row r="1044" spans="1:1">
      <c r="A1044" s="9"/>
    </row>
    <row r="1045" spans="1:1">
      <c r="A1045" s="4" t="s">
        <v>400</v>
      </c>
    </row>
    <row r="1046" spans="1:1">
      <c r="A1046" s="9"/>
    </row>
    <row r="1047" spans="1:1">
      <c r="A1047" s="9" t="s">
        <v>401</v>
      </c>
    </row>
    <row r="1048" spans="1:1">
      <c r="A1048" s="9"/>
    </row>
    <row r="1049" spans="1:1">
      <c r="A1049" s="9" t="s">
        <v>402</v>
      </c>
    </row>
    <row r="1050" spans="1:1">
      <c r="A1050" s="9"/>
    </row>
    <row r="1051" spans="1:1">
      <c r="A1051" s="9"/>
    </row>
    <row r="1052" spans="1:1">
      <c r="A1052" s="9"/>
    </row>
    <row r="1053" spans="1:1">
      <c r="A1053" s="4" t="s">
        <v>403</v>
      </c>
    </row>
    <row r="1054" spans="1:1">
      <c r="A1054" s="9"/>
    </row>
    <row r="1055" spans="1:1">
      <c r="A1055" s="9" t="s">
        <v>154</v>
      </c>
    </row>
    <row r="1056" spans="1:1">
      <c r="A1056" s="9"/>
    </row>
    <row r="1057" spans="1:1">
      <c r="A1057" s="4" t="s">
        <v>404</v>
      </c>
    </row>
    <row r="1058" spans="1:1">
      <c r="A1058" s="9"/>
    </row>
    <row r="1059" spans="1:1">
      <c r="A1059" s="9" t="s">
        <v>405</v>
      </c>
    </row>
    <row r="1060" spans="1:1">
      <c r="A1060" s="9"/>
    </row>
    <row r="1061" spans="1:1">
      <c r="A1061" s="27" t="s">
        <v>406</v>
      </c>
    </row>
    <row r="1062" spans="1:1">
      <c r="A1062" s="27" t="s">
        <v>407</v>
      </c>
    </row>
    <row r="1063" spans="1:1">
      <c r="A1063" s="27" t="s">
        <v>408</v>
      </c>
    </row>
    <row r="1064" spans="1:1">
      <c r="A1064" s="27" t="s">
        <v>409</v>
      </c>
    </row>
    <row r="1065" spans="1:1">
      <c r="A1065" s="27" t="s">
        <v>410</v>
      </c>
    </row>
    <row r="1066" spans="1:1">
      <c r="A1066" s="27" t="s">
        <v>411</v>
      </c>
    </row>
    <row r="1067" spans="1:1">
      <c r="A1067" s="9"/>
    </row>
    <row r="1068" spans="1:1">
      <c r="A1068" s="9"/>
    </row>
    <row r="1069" spans="1:1">
      <c r="A1069" s="4" t="s">
        <v>412</v>
      </c>
    </row>
    <row r="1070" spans="1:1">
      <c r="A1070" s="9"/>
    </row>
    <row r="1071" spans="1:1">
      <c r="A1071" s="9" t="s">
        <v>16</v>
      </c>
    </row>
    <row r="1072" spans="1:1">
      <c r="A1072" s="9"/>
    </row>
    <row r="1073" spans="1:4">
      <c r="A1073" s="4" t="s">
        <v>413</v>
      </c>
    </row>
    <row r="1074" spans="1:4">
      <c r="A1074" s="9"/>
    </row>
    <row r="1075" spans="1:4">
      <c r="A1075" s="9" t="s">
        <v>414</v>
      </c>
    </row>
    <row r="1076" spans="1:4">
      <c r="A1076" s="9"/>
    </row>
    <row r="1077" spans="1:4">
      <c r="A1077" s="5" t="s">
        <v>415</v>
      </c>
      <c r="B1077" s="5" t="s">
        <v>416</v>
      </c>
      <c r="C1077" s="5" t="s">
        <v>417</v>
      </c>
      <c r="D1077" s="5" t="s">
        <v>418</v>
      </c>
    </row>
    <row r="1078" spans="1:4">
      <c r="A1078" s="30" t="s">
        <v>419</v>
      </c>
      <c r="B1078" s="30" t="s">
        <v>420</v>
      </c>
      <c r="C1078" s="30" t="s">
        <v>420</v>
      </c>
      <c r="D1078" s="30" t="s">
        <v>417</v>
      </c>
    </row>
    <row r="1079" spans="1:4">
      <c r="A1079" s="30" t="s">
        <v>421</v>
      </c>
      <c r="B1079" s="30" t="s">
        <v>422</v>
      </c>
      <c r="C1079" s="30" t="s">
        <v>422</v>
      </c>
      <c r="D1079" s="30" t="s">
        <v>417</v>
      </c>
    </row>
    <row r="1080" spans="1:4">
      <c r="A1080" s="30" t="s">
        <v>423</v>
      </c>
      <c r="B1080" s="30" t="s">
        <v>424</v>
      </c>
      <c r="C1080" s="30" t="s">
        <v>424</v>
      </c>
      <c r="D1080" s="30" t="s">
        <v>417</v>
      </c>
    </row>
    <row r="1081" ht="28" spans="1:4">
      <c r="A1081" s="30" t="s">
        <v>425</v>
      </c>
      <c r="B1081" s="30" t="s">
        <v>426</v>
      </c>
      <c r="C1081" s="30" t="s">
        <v>427</v>
      </c>
      <c r="D1081" s="30" t="s">
        <v>428</v>
      </c>
    </row>
    <row r="1082" spans="1:4">
      <c r="A1082" s="30" t="s">
        <v>429</v>
      </c>
      <c r="B1082" s="30" t="s">
        <v>430</v>
      </c>
      <c r="C1082" s="56" t="s">
        <v>431</v>
      </c>
      <c r="D1082" s="30" t="s">
        <v>432</v>
      </c>
    </row>
    <row r="1083" spans="1:4">
      <c r="A1083" s="9"/>
    </row>
    <row r="1084" spans="1:4">
      <c r="A1084" s="9" t="s">
        <v>433</v>
      </c>
    </row>
    <row r="1085" spans="1:4">
      <c r="A1085" s="9"/>
    </row>
    <row r="1086" spans="1:4">
      <c r="A1086" s="4" t="s">
        <v>434</v>
      </c>
    </row>
    <row r="1087" spans="1:4">
      <c r="A1087" s="9"/>
    </row>
    <row r="1088" spans="1:4">
      <c r="A1088" s="9" t="s">
        <v>435</v>
      </c>
    </row>
    <row r="1089" spans="1:1">
      <c r="A1089" s="9"/>
    </row>
    <row r="1090" spans="1:1">
      <c r="A1090" s="4" t="s">
        <v>436</v>
      </c>
    </row>
    <row r="1091" spans="1:1">
      <c r="A1091" s="9"/>
    </row>
    <row r="1092" spans="1:1">
      <c r="A1092" s="9" t="s">
        <v>13</v>
      </c>
    </row>
    <row r="1093" spans="1:1">
      <c r="A1093" s="9"/>
    </row>
    <row r="1094" spans="1:1">
      <c r="A1094" s="9" t="s">
        <v>437</v>
      </c>
    </row>
    <row r="1095" spans="1:1">
      <c r="A1095" s="9"/>
    </row>
    <row r="1096" spans="1:1">
      <c r="A1096" s="9"/>
    </row>
    <row r="1097" spans="1:1">
      <c r="A1097" s="9"/>
    </row>
    <row r="1098" spans="1:1">
      <c r="A1098" s="4" t="s">
        <v>438</v>
      </c>
    </row>
    <row r="1099" spans="1:1">
      <c r="A1099" s="9"/>
    </row>
    <row r="1100" spans="1:1">
      <c r="A1100" s="9" t="s">
        <v>16</v>
      </c>
    </row>
    <row r="1101" spans="1:1">
      <c r="A1101" s="9"/>
    </row>
    <row r="1102" spans="1:1">
      <c r="A1102" s="4" t="s">
        <v>439</v>
      </c>
    </row>
    <row r="1103" spans="1:1">
      <c r="A1103" s="9"/>
    </row>
    <row r="1104" spans="1:1">
      <c r="A1104" s="9" t="s">
        <v>440</v>
      </c>
    </row>
    <row r="1105" spans="1:1">
      <c r="A1105" s="9"/>
    </row>
    <row r="1106" spans="1:1">
      <c r="A1106" s="27" t="s">
        <v>441</v>
      </c>
    </row>
    <row r="1107" spans="1:1">
      <c r="A1107" s="27" t="s">
        <v>442</v>
      </c>
    </row>
    <row r="1108" spans="1:1">
      <c r="A1108" s="9"/>
    </row>
    <row r="1109" spans="1:1">
      <c r="A1109" s="9" t="s">
        <v>443</v>
      </c>
    </row>
    <row r="1110" spans="1:1">
      <c r="A1110" s="9"/>
    </row>
    <row r="1111" spans="1:1">
      <c r="A1111" s="4" t="s">
        <v>444</v>
      </c>
    </row>
    <row r="1112" spans="1:1">
      <c r="A1112" s="9"/>
    </row>
    <row r="1113" spans="1:1">
      <c r="A1113" s="9" t="s">
        <v>445</v>
      </c>
    </row>
    <row r="1114" spans="1:1">
      <c r="A1114" s="9"/>
    </row>
    <row r="1115" spans="1:1">
      <c r="A1115" s="4" t="s">
        <v>446</v>
      </c>
    </row>
    <row r="1116" spans="1:1">
      <c r="A1116" s="9"/>
    </row>
    <row r="1117" spans="1:1">
      <c r="A1117" s="9" t="s">
        <v>447</v>
      </c>
    </row>
    <row r="1118" spans="1:1">
      <c r="A1118" s="9"/>
    </row>
    <row r="1119" spans="1:1">
      <c r="A1119" s="27" t="s">
        <v>448</v>
      </c>
    </row>
    <row r="1120" spans="1:1">
      <c r="A1120" s="27" t="s">
        <v>449</v>
      </c>
    </row>
    <row r="1121" spans="1:1">
      <c r="A1121" s="27" t="s">
        <v>450</v>
      </c>
    </row>
    <row r="1122" spans="1:1">
      <c r="A1122" s="9"/>
    </row>
    <row r="1123" spans="1:1">
      <c r="A1123" s="9" t="s">
        <v>145</v>
      </c>
    </row>
    <row r="1124" spans="1:1">
      <c r="A1124" s="9"/>
    </row>
    <row r="1125" ht="17.5" spans="1:1">
      <c r="A1125" s="26" t="s">
        <v>451</v>
      </c>
    </row>
    <row r="1126" spans="1:1">
      <c r="A1126" s="9"/>
    </row>
    <row r="1127" ht="17.5" spans="1:1">
      <c r="A1127" s="26" t="s">
        <v>452</v>
      </c>
    </row>
    <row r="1128" spans="1:1">
      <c r="A1128" s="9"/>
    </row>
    <row r="1129" ht="17.5" spans="1:1">
      <c r="A1129" s="26" t="s">
        <v>453</v>
      </c>
    </row>
    <row r="1130" spans="1:1">
      <c r="A1130" s="9"/>
    </row>
    <row r="1131" spans="1:1">
      <c r="A1131" s="9" t="s">
        <v>154</v>
      </c>
    </row>
    <row r="1132" spans="1:1">
      <c r="A1132" s="9"/>
    </row>
    <row r="1133" spans="1:1">
      <c r="A1133" s="4" t="s">
        <v>454</v>
      </c>
    </row>
    <row r="1134" spans="1:1">
      <c r="A1134" s="9"/>
    </row>
    <row r="1135" spans="1:1">
      <c r="A1135" s="9"/>
    </row>
    <row r="1136" spans="1:1">
      <c r="A1136" s="9"/>
    </row>
    <row r="1137" spans="1:1">
      <c r="A1137" s="4" t="s">
        <v>455</v>
      </c>
    </row>
    <row r="1138" spans="1:1">
      <c r="A1138" s="9"/>
    </row>
    <row r="1139" spans="1:1">
      <c r="A1139" s="9" t="s">
        <v>16</v>
      </c>
    </row>
    <row r="1140" spans="1:1">
      <c r="A1140" s="9"/>
    </row>
    <row r="1141" spans="1:1">
      <c r="A1141" s="4" t="s">
        <v>456</v>
      </c>
    </row>
    <row r="1142" spans="1:1">
      <c r="A1142" s="9"/>
    </row>
    <row r="1143" spans="1:1">
      <c r="A1143" s="9" t="s">
        <v>221</v>
      </c>
    </row>
    <row r="1144" spans="1:1">
      <c r="A1144" s="9"/>
    </row>
    <row r="1145" spans="1:1">
      <c r="A1145" s="4" t="s">
        <v>457</v>
      </c>
    </row>
    <row r="1146" spans="1:1">
      <c r="A1146" s="9"/>
    </row>
    <row r="1147" spans="1:1">
      <c r="A1147" s="9" t="s">
        <v>458</v>
      </c>
    </row>
    <row r="1148" spans="1:1">
      <c r="A1148" s="9"/>
    </row>
    <row r="1149" spans="1:1">
      <c r="A1149" s="27" t="s">
        <v>459</v>
      </c>
    </row>
    <row r="1150" spans="1:1">
      <c r="A1150" s="27" t="s">
        <v>407</v>
      </c>
    </row>
    <row r="1151" spans="1:1">
      <c r="A1151" s="27" t="s">
        <v>408</v>
      </c>
    </row>
    <row r="1152" spans="1:1">
      <c r="A1152" s="27" t="s">
        <v>409</v>
      </c>
    </row>
    <row r="1153" spans="1:1">
      <c r="A1153" s="9"/>
    </row>
    <row r="1154" spans="1:1">
      <c r="A1154" s="9" t="s">
        <v>73</v>
      </c>
    </row>
    <row r="1155" spans="1:1">
      <c r="A1155" s="9"/>
    </row>
    <row r="1156" spans="1:1">
      <c r="A1156" s="4" t="s">
        <v>460</v>
      </c>
    </row>
    <row r="1157" spans="1:1">
      <c r="A1157" s="9"/>
    </row>
    <row r="1158" spans="1:1">
      <c r="A1158" s="9" t="s">
        <v>461</v>
      </c>
    </row>
    <row r="1159" spans="1:1">
      <c r="A1159" s="9"/>
    </row>
    <row r="1160" spans="1:1">
      <c r="A1160" s="4" t="s">
        <v>462</v>
      </c>
    </row>
    <row r="1161" spans="1:1">
      <c r="A1161" s="9"/>
    </row>
    <row r="1162" spans="1:1">
      <c r="A1162" s="9" t="s">
        <v>463</v>
      </c>
    </row>
    <row r="1163" spans="1:1">
      <c r="A1163" s="9"/>
    </row>
    <row r="1164" spans="1:1">
      <c r="A1164" s="4" t="s">
        <v>464</v>
      </c>
    </row>
    <row r="1165" spans="1:1">
      <c r="A1165" s="9"/>
    </row>
    <row r="1166" spans="1:1">
      <c r="A1166" s="9" t="s">
        <v>154</v>
      </c>
    </row>
    <row r="1167" spans="1:1">
      <c r="A1167" s="9"/>
    </row>
    <row r="1168" spans="1:1">
      <c r="A1168" s="4" t="s">
        <v>465</v>
      </c>
    </row>
    <row r="1169" spans="1:1">
      <c r="A1169" s="9"/>
    </row>
    <row r="1170" spans="1:1">
      <c r="A1170" s="9"/>
    </row>
    <row r="1171" spans="1:1">
      <c r="A1171" s="4" t="s">
        <v>466</v>
      </c>
    </row>
    <row r="1172" spans="1:1">
      <c r="A1172" s="9"/>
    </row>
    <row r="1173" spans="1:1">
      <c r="A1173" s="9" t="s">
        <v>154</v>
      </c>
    </row>
    <row r="1174" spans="1:1">
      <c r="A1174" s="9"/>
    </row>
    <row r="1175" spans="1:1">
      <c r="A1175" s="4" t="s">
        <v>467</v>
      </c>
    </row>
    <row r="1176" spans="1:1">
      <c r="A1176" s="9"/>
    </row>
    <row r="1177" spans="1:1">
      <c r="A1177" s="9" t="s">
        <v>468</v>
      </c>
    </row>
    <row r="1178" spans="1:1">
      <c r="A1178" s="9"/>
    </row>
    <row r="1179" spans="1:1">
      <c r="A1179" s="27" t="s">
        <v>469</v>
      </c>
    </row>
    <row r="1180" spans="1:1">
      <c r="A1180" s="27" t="s">
        <v>470</v>
      </c>
    </row>
    <row r="1181" spans="1:1">
      <c r="A1181" s="27" t="s">
        <v>406</v>
      </c>
    </row>
    <row r="1182" spans="1:1">
      <c r="A1182" s="27" t="s">
        <v>407</v>
      </c>
    </row>
    <row r="1183" spans="1:1">
      <c r="A1183" s="27" t="s">
        <v>408</v>
      </c>
    </row>
    <row r="1184" spans="1:1">
      <c r="A1184" s="27" t="s">
        <v>471</v>
      </c>
    </row>
    <row r="1185" spans="1:1">
      <c r="A1185" s="27" t="s">
        <v>451</v>
      </c>
    </row>
    <row r="1186" spans="1:1">
      <c r="A1186" s="27" t="s">
        <v>472</v>
      </c>
    </row>
    <row r="1187" spans="1:1">
      <c r="A1187" s="27" t="s">
        <v>473</v>
      </c>
    </row>
    <row r="1188" spans="1:1">
      <c r="A1188" s="9"/>
    </row>
    <row r="1189" spans="1:1">
      <c r="A1189" s="9" t="s">
        <v>474</v>
      </c>
    </row>
    <row r="1190" spans="1:1">
      <c r="A1190" s="9"/>
    </row>
    <row r="1191" spans="1:1">
      <c r="A1191" s="4" t="s">
        <v>475</v>
      </c>
    </row>
    <row r="1192" spans="1:1">
      <c r="A1192" s="9"/>
    </row>
    <row r="1193" spans="1:1">
      <c r="A1193" s="9" t="s">
        <v>476</v>
      </c>
    </row>
    <row r="1194" spans="1:1">
      <c r="A1194" s="9"/>
    </row>
    <row r="1195" spans="1:1">
      <c r="A1195" s="4" t="s">
        <v>477</v>
      </c>
    </row>
    <row r="1196" spans="1:1">
      <c r="A1196" s="9"/>
    </row>
    <row r="1197" spans="1:1">
      <c r="A1197" s="9" t="s">
        <v>154</v>
      </c>
    </row>
    <row r="1198" spans="1:1">
      <c r="A1198" s="9"/>
    </row>
    <row r="1199" spans="1:1">
      <c r="A1199" s="4" t="s">
        <v>478</v>
      </c>
    </row>
    <row r="1200" spans="1:1">
      <c r="A1200" s="9"/>
    </row>
    <row r="1201" spans="1:1">
      <c r="A1201" s="9"/>
    </row>
    <row r="1202" spans="1:1">
      <c r="A1202" s="9" t="s">
        <v>479</v>
      </c>
    </row>
    <row r="1203" spans="1:1">
      <c r="A1203" s="9"/>
    </row>
    <row r="1204" spans="1:1">
      <c r="A1204" s="27" t="s">
        <v>480</v>
      </c>
    </row>
    <row r="1205" spans="1:1">
      <c r="A1205" s="27" t="s">
        <v>481</v>
      </c>
    </row>
    <row r="1206" spans="1:1">
      <c r="A1206" s="27" t="s">
        <v>482</v>
      </c>
    </row>
    <row r="1207" spans="1:1">
      <c r="A1207" s="27" t="s">
        <v>483</v>
      </c>
    </row>
    <row r="1208" spans="1:1">
      <c r="A1208" s="27" t="s">
        <v>484</v>
      </c>
    </row>
    <row r="1209" spans="1:1">
      <c r="A1209" s="27" t="s">
        <v>485</v>
      </c>
    </row>
    <row r="1210" spans="1:1">
      <c r="A1210" s="27" t="s">
        <v>486</v>
      </c>
    </row>
    <row r="1211" spans="1:1">
      <c r="A1211" s="27" t="s">
        <v>487</v>
      </c>
    </row>
    <row r="1212" spans="1:1">
      <c r="A1212" s="9"/>
    </row>
    <row r="1213" spans="1:1">
      <c r="A1213" s="9" t="s">
        <v>488</v>
      </c>
    </row>
    <row r="1214" spans="1:1">
      <c r="A1214" s="9"/>
    </row>
    <row r="1215" spans="1:1">
      <c r="A1215" s="4" t="s">
        <v>489</v>
      </c>
    </row>
    <row r="1216" spans="1:1">
      <c r="A1216" s="9"/>
    </row>
    <row r="1217" spans="1:1">
      <c r="A1217" s="4" t="s">
        <v>490</v>
      </c>
    </row>
    <row r="1218" spans="1:1">
      <c r="A1218" s="9"/>
    </row>
    <row r="1219" spans="1:1">
      <c r="A1219" s="4" t="s">
        <v>491</v>
      </c>
    </row>
    <row r="1220" spans="1:1">
      <c r="A1220" s="9"/>
    </row>
    <row r="1221" spans="1:1">
      <c r="A1221" s="9"/>
    </row>
    <row r="1222" spans="1:1">
      <c r="A1222" s="9"/>
    </row>
    <row r="1223" spans="1:1">
      <c r="A1223" s="4" t="s">
        <v>492</v>
      </c>
    </row>
    <row r="1224" spans="1:1">
      <c r="A1224" s="9"/>
    </row>
    <row r="1225" spans="1:1">
      <c r="A1225" s="9" t="s">
        <v>154</v>
      </c>
    </row>
    <row r="1226" spans="1:1">
      <c r="A1226" s="9"/>
    </row>
    <row r="1227" spans="1:1">
      <c r="A1227" s="4" t="s">
        <v>493</v>
      </c>
    </row>
    <row r="1228" spans="1:1">
      <c r="A1228" s="9"/>
    </row>
    <row r="1229" spans="1:1">
      <c r="A1229" s="9" t="s">
        <v>494</v>
      </c>
    </row>
    <row r="1230" spans="1:1">
      <c r="A1230" s="9"/>
    </row>
    <row r="1231" spans="1:1">
      <c r="A1231" s="27" t="s">
        <v>495</v>
      </c>
    </row>
    <row r="1232" spans="1:1">
      <c r="A1232" s="27" t="s">
        <v>496</v>
      </c>
    </row>
    <row r="1233" spans="1:1">
      <c r="A1233" s="27" t="s">
        <v>497</v>
      </c>
    </row>
    <row r="1234" spans="1:1">
      <c r="A1234" s="27" t="s">
        <v>498</v>
      </c>
    </row>
    <row r="1235" spans="1:1">
      <c r="A1235" s="27" t="s">
        <v>499</v>
      </c>
    </row>
    <row r="1236" spans="1:1">
      <c r="A1236" s="27" t="s">
        <v>500</v>
      </c>
    </row>
    <row r="1237" spans="1:1">
      <c r="A1237" s="27" t="s">
        <v>501</v>
      </c>
    </row>
    <row r="1238" spans="1:1">
      <c r="A1238" s="9"/>
    </row>
    <row r="1239" spans="1:1">
      <c r="A1239" s="9" t="s">
        <v>152</v>
      </c>
    </row>
    <row r="1240" spans="1:1">
      <c r="A1240" s="9"/>
    </row>
    <row r="1241" ht="17.5" spans="1:1">
      <c r="A1241" s="26" t="s">
        <v>502</v>
      </c>
    </row>
    <row r="1242" spans="1:1">
      <c r="A1242" s="9"/>
    </row>
    <row r="1243" ht="17.5" spans="1:1">
      <c r="A1243" s="26" t="s">
        <v>503</v>
      </c>
    </row>
    <row r="1244" spans="1:1">
      <c r="A1244" s="9"/>
    </row>
    <row r="1245" spans="1:1">
      <c r="A1245" s="9" t="s">
        <v>504</v>
      </c>
    </row>
    <row r="1246" spans="1:1">
      <c r="A1246" s="9"/>
    </row>
    <row r="1247" spans="1:1">
      <c r="A1247" s="4" t="s">
        <v>469</v>
      </c>
    </row>
    <row r="1248" spans="1:1">
      <c r="A1248" s="9"/>
    </row>
    <row r="1249" spans="1:1">
      <c r="A1249" s="4" t="s">
        <v>505</v>
      </c>
    </row>
    <row r="1250" spans="1:1">
      <c r="A1250" s="9"/>
    </row>
    <row r="1251" spans="1:1">
      <c r="A1251" s="4" t="s">
        <v>506</v>
      </c>
    </row>
    <row r="1252" spans="1:1">
      <c r="A1252" s="9"/>
    </row>
    <row r="1253" spans="1:1">
      <c r="A1253" s="4" t="s">
        <v>407</v>
      </c>
    </row>
    <row r="1254" spans="1:1">
      <c r="A1254" s="9"/>
    </row>
    <row r="1255" spans="1:1">
      <c r="A1255" s="4" t="s">
        <v>408</v>
      </c>
    </row>
    <row r="1256" spans="1:1">
      <c r="A1256" s="9"/>
    </row>
    <row r="1257" spans="1:1">
      <c r="A1257" s="4" t="s">
        <v>486</v>
      </c>
    </row>
    <row r="1259" s="10" customFormat="1"/>
    <row r="1261" ht="23" spans="1:1">
      <c r="A1261" s="28" t="s">
        <v>507</v>
      </c>
    </row>
    <row r="1263" spans="1:1">
      <c r="A1263" s="4" t="s">
        <v>508</v>
      </c>
    </row>
    <row r="1264" spans="1:1">
      <c r="A1264" s="4" t="s">
        <v>509</v>
      </c>
    </row>
    <row r="1265" spans="1:1">
      <c r="A1265" s="4" t="s">
        <v>510</v>
      </c>
    </row>
    <row r="1266" spans="1:1">
      <c r="A1266" s="4" t="s">
        <v>511</v>
      </c>
    </row>
    <row r="1267" spans="1:1">
      <c r="A1267" s="4" t="s">
        <v>512</v>
      </c>
    </row>
    <row r="1268" spans="1:1">
      <c r="A1268" s="4" t="s">
        <v>513</v>
      </c>
    </row>
    <row r="1269" spans="1:1">
      <c r="A1269" s="4" t="s">
        <v>514</v>
      </c>
    </row>
    <row r="1270" spans="1:1">
      <c r="A1270" s="4" t="s">
        <v>515</v>
      </c>
    </row>
    <row r="1272" s="10" customFormat="1"/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79"/>
  <sheetViews>
    <sheetView zoomScale="70" zoomScaleNormal="70" topLeftCell="A642" workbookViewId="0">
      <selection activeCell="I672" sqref="I672"/>
    </sheetView>
  </sheetViews>
  <sheetFormatPr defaultColWidth="9" defaultRowHeight="14" outlineLevelCol="4"/>
  <cols>
    <col min="1" max="1" width="14.7272727272727" customWidth="1"/>
    <col min="2" max="2" width="12.8727272727273" customWidth="1"/>
    <col min="3" max="3" width="23" customWidth="1"/>
    <col min="4" max="4" width="14.2545454545455" customWidth="1"/>
  </cols>
  <sheetData>
    <row r="1" spans="1:1">
      <c r="A1" s="9"/>
    </row>
    <row r="2" ht="17.5" spans="1:1">
      <c r="A2" s="26" t="s">
        <v>516</v>
      </c>
    </row>
    <row r="3" spans="1:1">
      <c r="A3" s="9"/>
    </row>
    <row r="4" ht="17.5" spans="1:1">
      <c r="A4" s="26" t="s">
        <v>517</v>
      </c>
    </row>
    <row r="5" spans="1:1">
      <c r="A5" s="9"/>
    </row>
    <row r="6" spans="1:1">
      <c r="A6" s="9" t="s">
        <v>163</v>
      </c>
    </row>
    <row r="7" spans="1:1">
      <c r="A7" s="9"/>
    </row>
    <row r="8" spans="1:1">
      <c r="A8" s="4" t="s">
        <v>518</v>
      </c>
    </row>
    <row r="9" spans="1:1">
      <c r="A9" s="9"/>
    </row>
    <row r="10" spans="1:1">
      <c r="A10" s="9" t="s">
        <v>519</v>
      </c>
    </row>
    <row r="11" spans="1:1">
      <c r="A11" s="9"/>
    </row>
    <row r="12" spans="1:1">
      <c r="A12" s="27" t="s">
        <v>520</v>
      </c>
    </row>
    <row r="13" spans="1:1">
      <c r="A13" s="9"/>
    </row>
    <row r="14" spans="1:1">
      <c r="A14" s="27" t="s">
        <v>521</v>
      </c>
    </row>
    <row r="15" spans="1:1">
      <c r="A15" s="9"/>
    </row>
    <row r="16" spans="1:1">
      <c r="A16" s="27" t="s">
        <v>522</v>
      </c>
    </row>
    <row r="17" spans="1:1">
      <c r="A17" s="9"/>
    </row>
    <row r="18" spans="1:1">
      <c r="A18" s="27" t="s">
        <v>523</v>
      </c>
    </row>
    <row r="19" spans="1:1">
      <c r="A19" s="9"/>
    </row>
    <row r="20" spans="1:1">
      <c r="A20" s="27" t="s">
        <v>524</v>
      </c>
    </row>
    <row r="21" spans="1:1">
      <c r="A21" s="9"/>
    </row>
    <row r="22" spans="1:1">
      <c r="A22" s="27" t="s">
        <v>525</v>
      </c>
    </row>
    <row r="23" spans="1:1">
      <c r="A23" s="9"/>
    </row>
    <row r="24" spans="1:1">
      <c r="A24" s="27" t="s">
        <v>526</v>
      </c>
    </row>
    <row r="25" spans="1:1">
      <c r="A25" s="9"/>
    </row>
    <row r="26" spans="1:1">
      <c r="A26" s="9" t="s">
        <v>154</v>
      </c>
    </row>
    <row r="27" spans="1:1">
      <c r="A27" s="9"/>
    </row>
    <row r="28" spans="1:1">
      <c r="A28" s="4" t="s">
        <v>527</v>
      </c>
    </row>
    <row r="29" spans="1:1">
      <c r="A29" s="9"/>
    </row>
    <row r="30" ht="17.5" spans="1:1">
      <c r="A30" s="26" t="s">
        <v>178</v>
      </c>
    </row>
    <row r="31" spans="1:1">
      <c r="A31" s="9"/>
    </row>
    <row r="32" spans="1:1">
      <c r="A32" s="9" t="s">
        <v>528</v>
      </c>
    </row>
    <row r="33" spans="1:1">
      <c r="A33" s="9"/>
    </row>
    <row r="34" spans="1:1">
      <c r="A34" s="9"/>
    </row>
    <row r="35" spans="1:1">
      <c r="A35" s="9"/>
    </row>
    <row r="36" ht="23" spans="1:1">
      <c r="A36" s="28" t="s">
        <v>529</v>
      </c>
    </row>
    <row r="37" spans="1:1">
      <c r="A37" s="9"/>
    </row>
    <row r="38" spans="1:1">
      <c r="A38" s="9" t="s">
        <v>16</v>
      </c>
    </row>
    <row r="39" spans="1:1">
      <c r="A39" s="9"/>
    </row>
    <row r="40" spans="1:1">
      <c r="A40" s="4" t="s">
        <v>530</v>
      </c>
    </row>
    <row r="41" spans="1:1">
      <c r="A41" s="9"/>
    </row>
    <row r="42" spans="1:1">
      <c r="A42" s="9" t="s">
        <v>531</v>
      </c>
    </row>
    <row r="43" spans="1:1">
      <c r="A43" s="9"/>
    </row>
    <row r="44" ht="17.5" spans="1:1">
      <c r="A44" s="26" t="s">
        <v>532</v>
      </c>
    </row>
    <row r="45" spans="1:1">
      <c r="A45" s="9"/>
    </row>
    <row r="46" spans="1:1">
      <c r="A46" s="9" t="s">
        <v>73</v>
      </c>
    </row>
    <row r="47" spans="1:1">
      <c r="A47" s="9"/>
    </row>
    <row r="48" spans="1:1">
      <c r="A48" s="27" t="s">
        <v>533</v>
      </c>
    </row>
    <row r="49" spans="1:1">
      <c r="A49" s="9"/>
    </row>
    <row r="50" spans="1:1">
      <c r="A50" s="27" t="s">
        <v>534</v>
      </c>
    </row>
    <row r="51" spans="1:1">
      <c r="A51" s="9"/>
    </row>
    <row r="52" spans="1:1">
      <c r="A52" s="27" t="s">
        <v>535</v>
      </c>
    </row>
    <row r="53" spans="1:1">
      <c r="A53" s="9"/>
    </row>
    <row r="54" spans="1:1">
      <c r="A54" s="27" t="s">
        <v>536</v>
      </c>
    </row>
    <row r="55" spans="1:1">
      <c r="A55" s="9"/>
    </row>
    <row r="56" spans="1:1">
      <c r="A56" s="27" t="s">
        <v>537</v>
      </c>
    </row>
    <row r="57" spans="1:1">
      <c r="A57" s="9"/>
    </row>
    <row r="58" spans="1:1">
      <c r="A58" s="9" t="s">
        <v>154</v>
      </c>
    </row>
    <row r="59" spans="1:1">
      <c r="A59" s="9"/>
    </row>
    <row r="60" spans="1:1">
      <c r="A60" s="4" t="s">
        <v>538</v>
      </c>
    </row>
    <row r="61" spans="1:1">
      <c r="A61" s="9"/>
    </row>
    <row r="62" spans="1:1">
      <c r="A62" s="9" t="s">
        <v>145</v>
      </c>
    </row>
    <row r="63" spans="1:1">
      <c r="A63" s="9"/>
    </row>
    <row r="64" spans="1:1">
      <c r="A64" s="4" t="s">
        <v>539</v>
      </c>
    </row>
    <row r="65" spans="1:1">
      <c r="A65" s="9"/>
    </row>
    <row r="66" spans="1:1">
      <c r="A66" s="9"/>
    </row>
    <row r="67" spans="1:1">
      <c r="A67" s="9"/>
    </row>
    <row r="68" ht="17.5" spans="1:1">
      <c r="A68" s="26" t="s">
        <v>540</v>
      </c>
    </row>
    <row r="69" spans="1:1">
      <c r="A69" s="9"/>
    </row>
    <row r="70" spans="1:1">
      <c r="A70" s="9" t="s">
        <v>73</v>
      </c>
    </row>
    <row r="71" spans="1:1">
      <c r="A71" s="9"/>
    </row>
    <row r="72" spans="1:1">
      <c r="A72" s="27" t="s">
        <v>541</v>
      </c>
    </row>
    <row r="73" spans="1:1">
      <c r="A73" s="9"/>
    </row>
    <row r="74" spans="1:1">
      <c r="A74" s="27" t="s">
        <v>534</v>
      </c>
    </row>
    <row r="75" spans="1:1">
      <c r="A75" s="9"/>
    </row>
    <row r="76" spans="1:1">
      <c r="A76" s="27" t="s">
        <v>542</v>
      </c>
    </row>
    <row r="77" spans="1:1">
      <c r="A77" s="9"/>
    </row>
    <row r="78" spans="1:1">
      <c r="A78" s="27" t="s">
        <v>543</v>
      </c>
    </row>
    <row r="79" spans="1:1">
      <c r="A79" s="9"/>
    </row>
    <row r="80" spans="1:1">
      <c r="A80" s="27" t="s">
        <v>544</v>
      </c>
    </row>
    <row r="81" spans="1:1">
      <c r="A81" s="9"/>
    </row>
    <row r="82" spans="1:1">
      <c r="A82" s="9" t="s">
        <v>154</v>
      </c>
    </row>
    <row r="83" spans="1:1">
      <c r="A83" s="9"/>
    </row>
    <row r="84" spans="1:1">
      <c r="A84" s="4" t="s">
        <v>538</v>
      </c>
    </row>
    <row r="85" spans="1:1">
      <c r="A85" s="9"/>
    </row>
    <row r="86" spans="1:1">
      <c r="A86" s="9" t="s">
        <v>145</v>
      </c>
    </row>
    <row r="87" spans="1:1">
      <c r="A87" s="9"/>
    </row>
    <row r="88" spans="1:1">
      <c r="A88" s="4" t="s">
        <v>539</v>
      </c>
    </row>
    <row r="89" spans="1:1">
      <c r="A89" s="9"/>
    </row>
    <row r="90" spans="1:1">
      <c r="A90" s="9"/>
    </row>
    <row r="91" spans="1:1">
      <c r="A91" s="9"/>
    </row>
    <row r="92" ht="17.5" spans="1:1">
      <c r="A92" s="26" t="s">
        <v>545</v>
      </c>
    </row>
    <row r="93" spans="1:1">
      <c r="A93" s="9"/>
    </row>
    <row r="94" spans="1:1">
      <c r="A94" s="9" t="s">
        <v>73</v>
      </c>
    </row>
    <row r="95" spans="1:1">
      <c r="A95" s="9"/>
    </row>
    <row r="96" spans="1:1">
      <c r="A96" s="27" t="s">
        <v>546</v>
      </c>
    </row>
    <row r="97" spans="1:1">
      <c r="A97" s="9"/>
    </row>
    <row r="98" spans="1:1">
      <c r="A98" s="27" t="s">
        <v>547</v>
      </c>
    </row>
    <row r="99" spans="1:1">
      <c r="A99" s="9"/>
    </row>
    <row r="100" spans="1:1">
      <c r="A100" s="27" t="s">
        <v>548</v>
      </c>
    </row>
    <row r="101" spans="1:1">
      <c r="A101" s="9"/>
    </row>
    <row r="102" spans="1:1">
      <c r="A102" s="27" t="s">
        <v>549</v>
      </c>
    </row>
    <row r="103" spans="1:1">
      <c r="A103" s="9"/>
    </row>
    <row r="104" spans="1:1">
      <c r="A104" s="9" t="s">
        <v>154</v>
      </c>
    </row>
    <row r="105" spans="1:1">
      <c r="A105" s="9"/>
    </row>
    <row r="106" spans="1:1">
      <c r="A106" s="4" t="s">
        <v>538</v>
      </c>
    </row>
    <row r="107" spans="1:1">
      <c r="A107" s="9"/>
    </row>
    <row r="108" spans="1:1">
      <c r="A108" s="9" t="s">
        <v>145</v>
      </c>
    </row>
    <row r="109" spans="1:1">
      <c r="A109" s="9"/>
    </row>
    <row r="110" spans="1:1">
      <c r="A110" s="4" t="s">
        <v>539</v>
      </c>
    </row>
    <row r="111" spans="1:1">
      <c r="A111" s="9"/>
    </row>
    <row r="112" spans="1:1">
      <c r="A112" s="9"/>
    </row>
    <row r="113" spans="1:1">
      <c r="A113" s="9"/>
    </row>
    <row r="114" ht="17.5" spans="1:1">
      <c r="A114" s="26" t="s">
        <v>550</v>
      </c>
    </row>
    <row r="115" spans="1:1">
      <c r="A115" s="9"/>
    </row>
    <row r="116" spans="1:1">
      <c r="A116" s="9" t="s">
        <v>73</v>
      </c>
    </row>
    <row r="117" spans="1:1">
      <c r="A117" s="9"/>
    </row>
    <row r="118" spans="1:1">
      <c r="A118" s="27" t="s">
        <v>551</v>
      </c>
    </row>
    <row r="119" spans="1:1">
      <c r="A119" s="9"/>
    </row>
    <row r="120" spans="1:1">
      <c r="A120" s="27" t="s">
        <v>552</v>
      </c>
    </row>
    <row r="121" spans="1:1">
      <c r="A121" s="9"/>
    </row>
    <row r="122" spans="1:1">
      <c r="A122" s="27" t="s">
        <v>553</v>
      </c>
    </row>
    <row r="123" spans="1:1">
      <c r="A123" s="9"/>
    </row>
    <row r="124" spans="1:1">
      <c r="A124" s="27" t="s">
        <v>554</v>
      </c>
    </row>
    <row r="125" spans="1:1">
      <c r="A125" s="9"/>
    </row>
    <row r="126" spans="1:1">
      <c r="A126" s="9" t="s">
        <v>154</v>
      </c>
    </row>
    <row r="127" spans="1:1">
      <c r="A127" s="9"/>
    </row>
    <row r="128" spans="1:1">
      <c r="A128" s="4" t="s">
        <v>555</v>
      </c>
    </row>
    <row r="129" spans="1:4">
      <c r="A129" s="9"/>
    </row>
    <row r="130" ht="17.5" spans="1:4">
      <c r="A130" s="26" t="s">
        <v>178</v>
      </c>
    </row>
    <row r="131" spans="1:4">
      <c r="A131" s="9"/>
    </row>
    <row r="132" spans="1:4">
      <c r="A132" s="9" t="s">
        <v>556</v>
      </c>
    </row>
    <row r="133" spans="1:4">
      <c r="A133" s="9"/>
    </row>
    <row r="134" spans="1:4">
      <c r="A134" s="9"/>
    </row>
    <row r="135" spans="1:4">
      <c r="A135" s="9"/>
    </row>
    <row r="136" ht="31" spans="1:4">
      <c r="A136" s="29" t="s">
        <v>557</v>
      </c>
    </row>
    <row r="137" spans="1:4">
      <c r="A137" s="9"/>
    </row>
    <row r="138" spans="1:4">
      <c r="A138" s="9" t="s">
        <v>16</v>
      </c>
    </row>
    <row r="139" spans="1:4">
      <c r="A139" s="9"/>
    </row>
    <row r="140" spans="1:4">
      <c r="A140" s="4" t="s">
        <v>558</v>
      </c>
    </row>
    <row r="141" spans="1:4">
      <c r="A141" s="9"/>
    </row>
    <row r="142" spans="1:4">
      <c r="A142" s="9" t="s">
        <v>559</v>
      </c>
    </row>
    <row r="143" spans="1:4">
      <c r="A143" s="9"/>
    </row>
    <row r="144" spans="1:4">
      <c r="A144" s="5" t="s">
        <v>560</v>
      </c>
      <c r="B144" s="5" t="s">
        <v>561</v>
      </c>
      <c r="C144" s="5" t="s">
        <v>562</v>
      </c>
      <c r="D144" s="5" t="s">
        <v>563</v>
      </c>
    </row>
    <row r="145" spans="1:4">
      <c r="A145" s="30" t="s">
        <v>193</v>
      </c>
      <c r="B145" s="30" t="s">
        <v>564</v>
      </c>
      <c r="C145" s="30" t="s">
        <v>565</v>
      </c>
      <c r="D145" s="30" t="s">
        <v>566</v>
      </c>
    </row>
    <row r="146" spans="1:4">
      <c r="A146" s="30" t="s">
        <v>567</v>
      </c>
      <c r="B146" s="30" t="s">
        <v>568</v>
      </c>
      <c r="C146" s="30" t="s">
        <v>565</v>
      </c>
      <c r="D146" s="30" t="s">
        <v>566</v>
      </c>
    </row>
    <row r="147" spans="1:4">
      <c r="A147" s="30" t="s">
        <v>194</v>
      </c>
      <c r="B147" s="30" t="s">
        <v>569</v>
      </c>
      <c r="C147" s="30" t="s">
        <v>570</v>
      </c>
      <c r="D147" s="30" t="s">
        <v>566</v>
      </c>
    </row>
    <row r="148" spans="1:4">
      <c r="A148" s="30" t="s">
        <v>195</v>
      </c>
      <c r="B148" s="30" t="s">
        <v>571</v>
      </c>
      <c r="C148" s="30" t="s">
        <v>570</v>
      </c>
      <c r="D148" s="30" t="s">
        <v>566</v>
      </c>
    </row>
    <row r="149" spans="1:4">
      <c r="A149" s="30" t="s">
        <v>196</v>
      </c>
      <c r="B149" s="30" t="s">
        <v>572</v>
      </c>
      <c r="C149" s="30" t="s">
        <v>570</v>
      </c>
      <c r="D149" s="30" t="s">
        <v>566</v>
      </c>
    </row>
    <row r="150" spans="1:4">
      <c r="A150" s="30" t="s">
        <v>197</v>
      </c>
      <c r="B150" s="30" t="s">
        <v>573</v>
      </c>
      <c r="C150" s="30" t="s">
        <v>570</v>
      </c>
      <c r="D150" s="30" t="s">
        <v>566</v>
      </c>
    </row>
    <row r="151" ht="28" spans="1:4">
      <c r="A151" s="30" t="s">
        <v>574</v>
      </c>
      <c r="B151" s="30" t="s">
        <v>575</v>
      </c>
      <c r="C151" s="30" t="s">
        <v>565</v>
      </c>
      <c r="D151" s="30" t="s">
        <v>576</v>
      </c>
    </row>
    <row r="152" spans="1:4">
      <c r="A152" s="30" t="s">
        <v>577</v>
      </c>
      <c r="B152" s="30" t="s">
        <v>578</v>
      </c>
      <c r="C152" s="30" t="s">
        <v>570</v>
      </c>
      <c r="D152" s="30" t="s">
        <v>579</v>
      </c>
    </row>
    <row r="153" spans="1:4">
      <c r="A153" s="30" t="s">
        <v>580</v>
      </c>
      <c r="B153" s="30" t="s">
        <v>581</v>
      </c>
      <c r="C153" s="30" t="s">
        <v>570</v>
      </c>
      <c r="D153" s="30" t="s">
        <v>579</v>
      </c>
    </row>
    <row r="154" spans="1:4">
      <c r="A154" s="30" t="s">
        <v>201</v>
      </c>
      <c r="B154" s="30" t="s">
        <v>582</v>
      </c>
      <c r="C154" s="30" t="s">
        <v>570</v>
      </c>
      <c r="D154" s="30" t="s">
        <v>583</v>
      </c>
    </row>
    <row r="155" spans="1:4">
      <c r="A155" s="30" t="s">
        <v>366</v>
      </c>
      <c r="B155" s="30" t="s">
        <v>584</v>
      </c>
      <c r="C155" s="30" t="s">
        <v>565</v>
      </c>
      <c r="D155" s="30" t="s">
        <v>585</v>
      </c>
    </row>
    <row r="156" spans="1:4">
      <c r="A156" s="30" t="s">
        <v>586</v>
      </c>
      <c r="B156" s="30" t="s">
        <v>587</v>
      </c>
      <c r="C156" s="30" t="s">
        <v>588</v>
      </c>
      <c r="D156" s="30" t="s">
        <v>585</v>
      </c>
    </row>
    <row r="157" spans="1:4">
      <c r="A157" s="9"/>
    </row>
    <row r="158" spans="1:4">
      <c r="A158" s="9" t="s">
        <v>589</v>
      </c>
    </row>
    <row r="159" spans="1:4">
      <c r="A159" s="9"/>
    </row>
    <row r="160" spans="1:4">
      <c r="A160" s="4" t="s">
        <v>590</v>
      </c>
    </row>
    <row r="161" spans="1:1">
      <c r="A161" s="9"/>
    </row>
    <row r="162" spans="1:1">
      <c r="A162" s="9" t="s">
        <v>591</v>
      </c>
    </row>
    <row r="163" spans="1:1">
      <c r="A163" s="9"/>
    </row>
    <row r="164" spans="1:1">
      <c r="A164" s="4" t="s">
        <v>592</v>
      </c>
    </row>
    <row r="165" spans="1:1">
      <c r="A165" s="9"/>
    </row>
    <row r="166" spans="1:1">
      <c r="A166" s="9" t="s">
        <v>154</v>
      </c>
    </row>
    <row r="167" spans="1:1">
      <c r="A167" s="9"/>
    </row>
    <row r="168" spans="1:1">
      <c r="A168" s="4" t="s">
        <v>593</v>
      </c>
    </row>
    <row r="169" spans="1:1">
      <c r="A169" s="9"/>
    </row>
    <row r="170" ht="17.5" spans="1:1">
      <c r="A170" s="26" t="s">
        <v>178</v>
      </c>
    </row>
    <row r="171" spans="1:1">
      <c r="A171" s="9"/>
    </row>
    <row r="172" spans="1:1">
      <c r="A172" s="9" t="s">
        <v>594</v>
      </c>
    </row>
    <row r="173" spans="1:1">
      <c r="A173" s="9"/>
    </row>
    <row r="174" spans="1:1">
      <c r="A174" s="9"/>
    </row>
    <row r="175" spans="1:1">
      <c r="A175" s="9"/>
    </row>
    <row r="176" ht="31" spans="1:1">
      <c r="A176" s="29" t="s">
        <v>595</v>
      </c>
    </row>
    <row r="177" spans="1:1">
      <c r="A177" s="9"/>
    </row>
    <row r="178" spans="1:1">
      <c r="A178" s="9" t="s">
        <v>16</v>
      </c>
    </row>
    <row r="179" spans="1:1">
      <c r="A179" s="9"/>
    </row>
    <row r="180" spans="1:1">
      <c r="A180" s="4" t="s">
        <v>596</v>
      </c>
    </row>
    <row r="181" spans="1:1">
      <c r="A181" s="9"/>
    </row>
    <row r="182" spans="1:1">
      <c r="A182" s="9" t="s">
        <v>597</v>
      </c>
    </row>
    <row r="183" spans="1:1">
      <c r="A183" s="9"/>
    </row>
    <row r="184" spans="1:1">
      <c r="A184" s="4" t="s">
        <v>598</v>
      </c>
    </row>
    <row r="185" spans="1:1">
      <c r="A185" s="9"/>
    </row>
    <row r="186" spans="1:1">
      <c r="A186" s="9" t="s">
        <v>599</v>
      </c>
    </row>
    <row r="187" spans="1:1">
      <c r="A187" s="9"/>
    </row>
    <row r="188" spans="1:1">
      <c r="A188" s="31" t="s">
        <v>600</v>
      </c>
    </row>
    <row r="189" spans="1:1">
      <c r="A189" s="31" t="s">
        <v>601</v>
      </c>
    </row>
    <row r="190" spans="1:1">
      <c r="A190" s="9"/>
    </row>
    <row r="191" spans="1:1">
      <c r="A191" s="31" t="s">
        <v>602</v>
      </c>
    </row>
    <row r="192" spans="1:1">
      <c r="A192" s="31" t="s">
        <v>603</v>
      </c>
    </row>
    <row r="193" spans="1:1">
      <c r="A193" s="31" t="s">
        <v>604</v>
      </c>
    </row>
    <row r="194" spans="1:1">
      <c r="A194" s="31" t="s">
        <v>605</v>
      </c>
    </row>
    <row r="195" spans="1:1">
      <c r="A195" s="9"/>
    </row>
    <row r="196" spans="1:1">
      <c r="A196" s="31" t="s">
        <v>606</v>
      </c>
    </row>
    <row r="197" spans="1:1">
      <c r="A197" s="31" t="s">
        <v>607</v>
      </c>
    </row>
    <row r="198" spans="1:1">
      <c r="A198" s="31" t="s">
        <v>608</v>
      </c>
    </row>
    <row r="199" spans="1:1">
      <c r="A199" s="31" t="s">
        <v>609</v>
      </c>
    </row>
    <row r="200" spans="1:1">
      <c r="A200" s="31" t="s">
        <v>610</v>
      </c>
    </row>
    <row r="201" spans="1:1">
      <c r="A201" s="31" t="s">
        <v>611</v>
      </c>
    </row>
    <row r="202" spans="1:1">
      <c r="A202" s="31" t="s">
        <v>612</v>
      </c>
    </row>
    <row r="203" spans="1:1">
      <c r="A203" s="31" t="s">
        <v>609</v>
      </c>
    </row>
    <row r="204" spans="1:1">
      <c r="A204" s="31" t="s">
        <v>610</v>
      </c>
    </row>
    <row r="205" spans="1:1">
      <c r="A205" s="31" t="s">
        <v>613</v>
      </c>
    </row>
    <row r="206" spans="1:1">
      <c r="A206" s="9"/>
    </row>
    <row r="207" spans="1:1">
      <c r="A207" s="31" t="s">
        <v>614</v>
      </c>
    </row>
    <row r="208" spans="1:1">
      <c r="A208" s="31" t="s">
        <v>615</v>
      </c>
    </row>
    <row r="209" spans="1:1">
      <c r="A209" s="9"/>
    </row>
    <row r="210" spans="1:1">
      <c r="A210" s="31" t="s">
        <v>616</v>
      </c>
    </row>
    <row r="211" spans="1:1">
      <c r="A211" s="31" t="s">
        <v>617</v>
      </c>
    </row>
    <row r="212" spans="1:1">
      <c r="A212" s="9"/>
    </row>
    <row r="213" spans="1:1">
      <c r="A213" s="31" t="s">
        <v>618</v>
      </c>
    </row>
    <row r="214" spans="1:1">
      <c r="A214" s="31" t="s">
        <v>619</v>
      </c>
    </row>
    <row r="215" spans="1:1">
      <c r="A215" s="31" t="s">
        <v>620</v>
      </c>
    </row>
    <row r="216" spans="1:1">
      <c r="A216" s="9"/>
    </row>
    <row r="217" spans="1:1">
      <c r="A217" s="9" t="s">
        <v>154</v>
      </c>
    </row>
    <row r="218" spans="1:1">
      <c r="A218" s="9"/>
    </row>
    <row r="219" spans="1:1">
      <c r="A219" s="4" t="s">
        <v>621</v>
      </c>
    </row>
    <row r="220" spans="1:1">
      <c r="A220" s="9"/>
    </row>
    <row r="221" spans="1:1">
      <c r="A221" s="9" t="s">
        <v>152</v>
      </c>
    </row>
    <row r="222" spans="1:1">
      <c r="A222" s="9"/>
    </row>
    <row r="223" spans="1:1">
      <c r="A223" s="4" t="s">
        <v>622</v>
      </c>
    </row>
    <row r="224" spans="1:1">
      <c r="A224" s="9"/>
    </row>
    <row r="225" spans="1:1">
      <c r="A225" s="9" t="s">
        <v>154</v>
      </c>
    </row>
    <row r="226" spans="1:1">
      <c r="A226" s="9"/>
    </row>
    <row r="227" spans="1:1">
      <c r="A227" s="4" t="s">
        <v>623</v>
      </c>
    </row>
    <row r="228" spans="1:1">
      <c r="A228" s="9"/>
    </row>
    <row r="229" spans="1:1">
      <c r="A229" s="9" t="s">
        <v>624</v>
      </c>
    </row>
    <row r="230" spans="1:1">
      <c r="A230" s="9"/>
    </row>
    <row r="231" spans="1:1">
      <c r="A231" s="27" t="s">
        <v>625</v>
      </c>
    </row>
    <row r="232" spans="1:1">
      <c r="A232" s="9"/>
    </row>
    <row r="233" spans="1:1">
      <c r="A233" s="27" t="s">
        <v>626</v>
      </c>
    </row>
    <row r="234" spans="1:1">
      <c r="A234" s="9"/>
    </row>
    <row r="235" spans="1:1">
      <c r="A235" s="27" t="s">
        <v>627</v>
      </c>
    </row>
    <row r="236" spans="1:1">
      <c r="A236" s="9"/>
    </row>
    <row r="237" spans="1:1">
      <c r="A237" s="27" t="s">
        <v>628</v>
      </c>
    </row>
    <row r="238" spans="1:1">
      <c r="A238" s="9"/>
    </row>
    <row r="239" spans="1:1">
      <c r="A239" s="27" t="s">
        <v>629</v>
      </c>
    </row>
    <row r="240" spans="1:1">
      <c r="A240" s="9"/>
    </row>
    <row r="241" spans="1:1">
      <c r="A241" s="9" t="s">
        <v>152</v>
      </c>
    </row>
    <row r="242" spans="1:1">
      <c r="A242" s="9"/>
    </row>
    <row r="243" spans="1:1">
      <c r="A243" s="4" t="s">
        <v>630</v>
      </c>
    </row>
    <row r="244" spans="1:1">
      <c r="A244" s="9"/>
    </row>
    <row r="245" ht="17.5" spans="1:1">
      <c r="A245" s="26" t="s">
        <v>178</v>
      </c>
    </row>
    <row r="246" spans="1:1">
      <c r="A246" s="9"/>
    </row>
    <row r="247" spans="1:1">
      <c r="A247" s="9" t="s">
        <v>631</v>
      </c>
    </row>
    <row r="248" spans="1:1">
      <c r="A248" s="9"/>
    </row>
    <row r="249" spans="1:1">
      <c r="A249" s="9"/>
    </row>
    <row r="250" spans="1:1">
      <c r="A250" s="9"/>
    </row>
    <row r="251" ht="31" spans="1:1">
      <c r="A251" s="29" t="s">
        <v>632</v>
      </c>
    </row>
    <row r="252" spans="1:1">
      <c r="A252" s="9"/>
    </row>
    <row r="253" spans="1:1">
      <c r="A253" s="9" t="s">
        <v>16</v>
      </c>
    </row>
    <row r="254" spans="1:1">
      <c r="A254" s="9"/>
    </row>
    <row r="255" spans="1:1">
      <c r="A255" s="4" t="s">
        <v>633</v>
      </c>
    </row>
    <row r="256" spans="1:1">
      <c r="A256" s="9"/>
    </row>
    <row r="257" spans="1:1">
      <c r="A257" s="9" t="s">
        <v>634</v>
      </c>
    </row>
    <row r="258" spans="1:1">
      <c r="A258" s="9"/>
    </row>
    <row r="259" ht="17.5" spans="1:1">
      <c r="A259" s="26" t="s">
        <v>635</v>
      </c>
    </row>
    <row r="260" spans="1:1">
      <c r="A260" s="9"/>
    </row>
    <row r="261" spans="1:1">
      <c r="A261" s="27" t="s">
        <v>194</v>
      </c>
    </row>
    <row r="262" spans="1:1">
      <c r="A262" s="9"/>
    </row>
    <row r="263" spans="1:1">
      <c r="A263" s="27" t="s">
        <v>195</v>
      </c>
    </row>
    <row r="264" spans="1:1">
      <c r="A264" s="9"/>
    </row>
    <row r="265" spans="1:1">
      <c r="A265" s="27" t="s">
        <v>196</v>
      </c>
    </row>
    <row r="266" spans="1:1">
      <c r="A266" s="9"/>
    </row>
    <row r="267" spans="1:1">
      <c r="A267" s="27" t="s">
        <v>636</v>
      </c>
    </row>
    <row r="268" spans="1:1">
      <c r="A268" s="9"/>
    </row>
    <row r="269" ht="17.5" spans="1:1">
      <c r="A269" s="26" t="s">
        <v>637</v>
      </c>
    </row>
    <row r="270" spans="1:1">
      <c r="A270" s="9"/>
    </row>
    <row r="271" spans="1:1">
      <c r="A271" s="27" t="s">
        <v>577</v>
      </c>
    </row>
    <row r="272" spans="1:1">
      <c r="A272" s="9"/>
    </row>
    <row r="273" spans="1:1">
      <c r="A273" s="27" t="s">
        <v>580</v>
      </c>
    </row>
    <row r="274" spans="1:1">
      <c r="A274" s="9"/>
    </row>
    <row r="275" spans="1:1">
      <c r="A275" s="27" t="s">
        <v>638</v>
      </c>
    </row>
    <row r="276" spans="1:1">
      <c r="A276" s="9"/>
    </row>
    <row r="277" ht="17.5" spans="1:1">
      <c r="A277" s="26" t="s">
        <v>639</v>
      </c>
    </row>
    <row r="278" spans="1:1">
      <c r="A278" s="9"/>
    </row>
    <row r="279" spans="1:1">
      <c r="A279" s="27" t="s">
        <v>193</v>
      </c>
    </row>
    <row r="280" spans="1:1">
      <c r="A280" s="9"/>
    </row>
    <row r="281" spans="1:1">
      <c r="A281" s="27" t="s">
        <v>567</v>
      </c>
    </row>
    <row r="282" spans="1:1">
      <c r="A282" s="9"/>
    </row>
    <row r="283" spans="1:1">
      <c r="A283" s="27" t="s">
        <v>201</v>
      </c>
    </row>
    <row r="284" spans="1:1">
      <c r="A284" s="9"/>
    </row>
    <row r="285" ht="17.5" spans="1:1">
      <c r="A285" s="26" t="s">
        <v>640</v>
      </c>
    </row>
    <row r="286" spans="1:1">
      <c r="A286" s="9"/>
    </row>
    <row r="287" spans="1:1">
      <c r="A287" s="27" t="s">
        <v>172</v>
      </c>
    </row>
    <row r="288" spans="1:1">
      <c r="A288" s="9"/>
    </row>
    <row r="289" spans="1:1">
      <c r="A289" s="27" t="s">
        <v>641</v>
      </c>
    </row>
    <row r="290" spans="1:1">
      <c r="A290" s="9"/>
    </row>
    <row r="291" spans="1:1">
      <c r="A291" s="9" t="s">
        <v>154</v>
      </c>
    </row>
    <row r="292" spans="1:1">
      <c r="A292" s="9"/>
    </row>
    <row r="293" spans="1:1">
      <c r="A293" s="4" t="s">
        <v>642</v>
      </c>
    </row>
    <row r="294" spans="1:1">
      <c r="A294" s="9"/>
    </row>
    <row r="295" spans="1:1">
      <c r="A295" s="9" t="s">
        <v>145</v>
      </c>
    </row>
    <row r="296" spans="1:1">
      <c r="A296" s="9"/>
    </row>
    <row r="297" spans="1:1">
      <c r="A297" s="4" t="s">
        <v>643</v>
      </c>
    </row>
    <row r="298" spans="1:1">
      <c r="A298" s="9"/>
    </row>
    <row r="299" spans="1:1">
      <c r="A299" s="9" t="s">
        <v>66</v>
      </c>
    </row>
    <row r="300" spans="1:1">
      <c r="A300" s="9"/>
    </row>
    <row r="301" spans="1:1">
      <c r="A301" s="4" t="s">
        <v>644</v>
      </c>
    </row>
    <row r="302" spans="1:1">
      <c r="A302" s="9"/>
    </row>
    <row r="303" spans="1:1">
      <c r="A303" s="9" t="s">
        <v>66</v>
      </c>
    </row>
    <row r="304" spans="1:1">
      <c r="A304" s="9"/>
    </row>
    <row r="305" spans="1:1">
      <c r="A305" s="4" t="s">
        <v>645</v>
      </c>
    </row>
    <row r="306" spans="1:1">
      <c r="A306" s="9"/>
    </row>
    <row r="307" spans="1:1">
      <c r="A307" s="9" t="s">
        <v>646</v>
      </c>
    </row>
    <row r="308" spans="1:1">
      <c r="A308" s="9"/>
    </row>
    <row r="309" spans="1:1">
      <c r="A309" s="9" t="s">
        <v>647</v>
      </c>
    </row>
    <row r="310" spans="1:1">
      <c r="A310" s="9"/>
    </row>
    <row r="311" spans="1:1">
      <c r="A311" s="9" t="s">
        <v>648</v>
      </c>
    </row>
    <row r="312" spans="1:1">
      <c r="A312" s="9"/>
    </row>
    <row r="313" spans="1:1">
      <c r="A313" s="4" t="s">
        <v>649</v>
      </c>
    </row>
    <row r="314" spans="1:1">
      <c r="A314" s="9"/>
    </row>
    <row r="315" spans="1:1">
      <c r="A315" s="9"/>
    </row>
    <row r="316" spans="1:1">
      <c r="A316" s="9"/>
    </row>
    <row r="317" ht="31" spans="1:1">
      <c r="A317" s="29" t="s">
        <v>650</v>
      </c>
    </row>
    <row r="318" spans="1:1">
      <c r="A318" s="9"/>
    </row>
    <row r="319" spans="1:1">
      <c r="A319" s="9" t="s">
        <v>16</v>
      </c>
    </row>
    <row r="320" spans="1:1">
      <c r="A320" s="9"/>
    </row>
    <row r="321" spans="1:1">
      <c r="A321" s="4" t="s">
        <v>651</v>
      </c>
    </row>
    <row r="322" spans="1:1">
      <c r="A322" s="9"/>
    </row>
    <row r="323" spans="1:1">
      <c r="A323" s="9" t="s">
        <v>652</v>
      </c>
    </row>
    <row r="324" spans="1:1">
      <c r="A324" s="9"/>
    </row>
    <row r="325" spans="1:1">
      <c r="A325" s="4" t="s">
        <v>653</v>
      </c>
    </row>
    <row r="326" spans="1:1">
      <c r="A326" s="9"/>
    </row>
    <row r="327" spans="1:1">
      <c r="A327" s="9" t="s">
        <v>654</v>
      </c>
    </row>
    <row r="328" spans="1:1">
      <c r="A328" s="9"/>
    </row>
    <row r="329" spans="1:1">
      <c r="A329" s="4" t="s">
        <v>655</v>
      </c>
    </row>
    <row r="330" spans="1:1">
      <c r="A330" s="9"/>
    </row>
    <row r="331" spans="1:1">
      <c r="A331" s="9" t="s">
        <v>656</v>
      </c>
    </row>
    <row r="332" spans="1:1">
      <c r="A332" s="9"/>
    </row>
    <row r="333" spans="1:1">
      <c r="A333" s="27" t="s">
        <v>657</v>
      </c>
    </row>
    <row r="334" spans="1:1">
      <c r="A334" s="9"/>
    </row>
    <row r="335" spans="1:1">
      <c r="A335" s="27" t="s">
        <v>658</v>
      </c>
    </row>
    <row r="336" spans="1:1">
      <c r="A336" s="9"/>
    </row>
    <row r="337" spans="1:1">
      <c r="A337" s="27" t="s">
        <v>659</v>
      </c>
    </row>
    <row r="338" spans="1:1">
      <c r="A338" s="9"/>
    </row>
    <row r="339" spans="1:1">
      <c r="A339" s="27" t="s">
        <v>660</v>
      </c>
    </row>
    <row r="340" spans="1:1">
      <c r="A340" s="9"/>
    </row>
    <row r="341" spans="1:1">
      <c r="A341" s="27" t="s">
        <v>661</v>
      </c>
    </row>
    <row r="342" spans="1:1">
      <c r="A342" s="9"/>
    </row>
    <row r="343" spans="1:1">
      <c r="A343" s="27" t="s">
        <v>662</v>
      </c>
    </row>
    <row r="344" spans="1:1">
      <c r="A344" s="9"/>
    </row>
    <row r="345" spans="1:1">
      <c r="A345" s="9" t="s">
        <v>663</v>
      </c>
    </row>
    <row r="346" spans="1:1">
      <c r="A346" s="9"/>
    </row>
    <row r="347" spans="1:1">
      <c r="A347" s="27" t="s">
        <v>664</v>
      </c>
    </row>
    <row r="348" spans="1:1">
      <c r="A348" s="9"/>
    </row>
    <row r="349" spans="1:1">
      <c r="A349" s="27" t="s">
        <v>665</v>
      </c>
    </row>
    <row r="350" spans="1:1">
      <c r="A350" s="9"/>
    </row>
    <row r="351" spans="1:1">
      <c r="A351" s="27" t="s">
        <v>666</v>
      </c>
    </row>
    <row r="352" spans="1:1">
      <c r="A352" s="9"/>
    </row>
    <row r="353" spans="1:1">
      <c r="A353" s="27" t="s">
        <v>667</v>
      </c>
    </row>
    <row r="354" spans="1:1">
      <c r="A354" s="9"/>
    </row>
    <row r="355" spans="1:1">
      <c r="A355" s="27" t="s">
        <v>668</v>
      </c>
    </row>
    <row r="356" spans="1:1">
      <c r="A356" s="9"/>
    </row>
    <row r="357" spans="1:1">
      <c r="A357" s="9" t="s">
        <v>154</v>
      </c>
    </row>
    <row r="358" spans="1:1">
      <c r="A358" s="9"/>
    </row>
    <row r="359" spans="1:1">
      <c r="A359" s="4" t="s">
        <v>669</v>
      </c>
    </row>
    <row r="360" spans="1:1">
      <c r="A360" s="9"/>
    </row>
    <row r="361" spans="1:1">
      <c r="A361" s="9" t="s">
        <v>152</v>
      </c>
    </row>
    <row r="362" spans="1:1">
      <c r="A362" s="9"/>
    </row>
    <row r="363" spans="1:1">
      <c r="A363" s="4" t="s">
        <v>670</v>
      </c>
    </row>
    <row r="364" spans="1:1">
      <c r="A364" s="9"/>
    </row>
    <row r="365" ht="17.5" spans="1:1">
      <c r="A365" s="26" t="s">
        <v>178</v>
      </c>
    </row>
    <row r="366" spans="1:1">
      <c r="A366" s="9"/>
    </row>
    <row r="367" spans="1:1">
      <c r="A367" s="9" t="s">
        <v>671</v>
      </c>
    </row>
    <row r="368" spans="1:1">
      <c r="A368" s="9"/>
    </row>
    <row r="369" spans="1:2">
      <c r="A369" s="9"/>
    </row>
    <row r="370" spans="1:2">
      <c r="A370" s="9"/>
    </row>
    <row r="371" ht="31" spans="1:2">
      <c r="A371" s="29" t="s">
        <v>672</v>
      </c>
    </row>
    <row r="372" spans="1:2">
      <c r="A372" s="9"/>
    </row>
    <row r="373" spans="1:2">
      <c r="A373" s="9" t="s">
        <v>16</v>
      </c>
    </row>
    <row r="374" spans="1:2">
      <c r="A374" s="9"/>
    </row>
    <row r="375" spans="1:2">
      <c r="A375" s="4" t="s">
        <v>673</v>
      </c>
    </row>
    <row r="376" spans="1:2">
      <c r="A376" s="9"/>
    </row>
    <row r="377" spans="1:2">
      <c r="A377" s="9" t="s">
        <v>182</v>
      </c>
      <c r="B377" s="4" t="s">
        <v>674</v>
      </c>
    </row>
    <row r="378" spans="1:2">
      <c r="A378" s="9"/>
    </row>
    <row r="380" spans="1:2">
      <c r="A380" s="9"/>
    </row>
    <row r="381" spans="1:2">
      <c r="A381" s="9" t="s">
        <v>675</v>
      </c>
      <c r="B381" s="4" t="s">
        <v>577</v>
      </c>
    </row>
    <row r="382" spans="1:2">
      <c r="A382" s="9"/>
    </row>
    <row r="384" spans="1:2">
      <c r="A384" s="9"/>
    </row>
    <row r="385" spans="1:2">
      <c r="A385" s="9" t="s">
        <v>676</v>
      </c>
      <c r="B385" s="4" t="s">
        <v>677</v>
      </c>
    </row>
    <row r="386" spans="1:2">
      <c r="A386" s="9"/>
    </row>
    <row r="388" spans="1:2">
      <c r="A388" s="9"/>
    </row>
    <row r="389" spans="1:2">
      <c r="A389" s="9" t="s">
        <v>445</v>
      </c>
    </row>
    <row r="390" spans="1:2">
      <c r="A390" s="9"/>
      <c r="B390" s="4" t="s">
        <v>678</v>
      </c>
    </row>
    <row r="391" spans="1:2">
      <c r="B391" s="9"/>
    </row>
    <row r="392" spans="1:2">
      <c r="B392" s="4" t="s">
        <v>679</v>
      </c>
    </row>
    <row r="393" spans="1:2">
      <c r="B393" s="9"/>
    </row>
    <row r="394" spans="1:2">
      <c r="B394" s="4" t="s">
        <v>680</v>
      </c>
    </row>
    <row r="396" spans="1:2">
      <c r="A396" s="9"/>
    </row>
    <row r="397" spans="1:2">
      <c r="A397" s="9" t="s">
        <v>681</v>
      </c>
    </row>
    <row r="398" spans="1:2">
      <c r="A398" s="9"/>
    </row>
    <row r="399" spans="1:2">
      <c r="B399" s="4" t="s">
        <v>682</v>
      </c>
    </row>
    <row r="400" spans="1:2">
      <c r="A400" s="9"/>
    </row>
    <row r="401" spans="1:2">
      <c r="A401" s="9" t="s">
        <v>683</v>
      </c>
    </row>
    <row r="402" spans="1:2">
      <c r="A402" s="9"/>
    </row>
    <row r="403" spans="1:2">
      <c r="B403" s="4" t="s">
        <v>684</v>
      </c>
    </row>
    <row r="404" spans="1:2">
      <c r="A404" s="9"/>
    </row>
    <row r="405" spans="1:2">
      <c r="A405" s="9" t="s">
        <v>685</v>
      </c>
    </row>
    <row r="406" spans="1:2">
      <c r="A406" s="9"/>
    </row>
    <row r="407" spans="1:2">
      <c r="B407" s="4" t="s">
        <v>686</v>
      </c>
    </row>
    <row r="408" spans="1:2">
      <c r="A408" s="9"/>
    </row>
    <row r="409" spans="1:2">
      <c r="A409" s="9" t="s">
        <v>687</v>
      </c>
    </row>
    <row r="410" spans="1:2">
      <c r="A410" s="9"/>
    </row>
    <row r="411" spans="1:2">
      <c r="B411" s="27" t="s">
        <v>688</v>
      </c>
    </row>
    <row r="412" spans="1:2">
      <c r="B412" s="9"/>
    </row>
    <row r="413" spans="1:2">
      <c r="B413" s="27" t="s">
        <v>689</v>
      </c>
    </row>
    <row r="414" spans="1:2">
      <c r="B414" s="9"/>
    </row>
    <row r="415" spans="1:2">
      <c r="B415" s="27" t="s">
        <v>216</v>
      </c>
    </row>
    <row r="416" spans="1:2">
      <c r="A416" s="9"/>
    </row>
    <row r="417" spans="1:2">
      <c r="A417" s="9" t="s">
        <v>690</v>
      </c>
    </row>
    <row r="418" spans="1:2">
      <c r="A418" s="9"/>
      <c r="B418" s="4" t="s">
        <v>691</v>
      </c>
    </row>
    <row r="420" spans="1:2">
      <c r="A420" s="9"/>
    </row>
    <row r="421" spans="1:2">
      <c r="A421" s="9" t="s">
        <v>692</v>
      </c>
    </row>
    <row r="422" spans="1:2">
      <c r="A422" s="9"/>
    </row>
    <row r="423" spans="1:2">
      <c r="A423" s="4" t="s">
        <v>693</v>
      </c>
    </row>
    <row r="424" spans="1:2">
      <c r="A424" s="9"/>
    </row>
    <row r="425" spans="1:2">
      <c r="A425" s="9" t="s">
        <v>154</v>
      </c>
    </row>
    <row r="426" spans="1:2">
      <c r="A426" s="9"/>
    </row>
    <row r="427" spans="1:2">
      <c r="A427" s="4" t="s">
        <v>694</v>
      </c>
    </row>
    <row r="428" spans="1:2">
      <c r="A428" s="9"/>
    </row>
    <row r="429" spans="1:2">
      <c r="A429" s="9" t="s">
        <v>145</v>
      </c>
    </row>
    <row r="430" spans="1:2">
      <c r="A430" s="9"/>
    </row>
    <row r="431" spans="1:2">
      <c r="A431" s="4" t="s">
        <v>695</v>
      </c>
    </row>
    <row r="432" spans="1:2">
      <c r="A432" s="9"/>
    </row>
    <row r="433" ht="17.5" spans="1:5">
      <c r="A433" s="26" t="s">
        <v>178</v>
      </c>
    </row>
    <row r="434" spans="1:5">
      <c r="A434" s="9"/>
    </row>
    <row r="435" spans="1:5">
      <c r="A435" s="9" t="s">
        <v>696</v>
      </c>
    </row>
    <row r="436" spans="1:5">
      <c r="A436" s="9"/>
    </row>
    <row r="437" spans="1:5">
      <c r="A437" s="9"/>
    </row>
    <row r="438" spans="1:5">
      <c r="A438" s="9"/>
    </row>
    <row r="439" ht="31" spans="1:5">
      <c r="A439" s="32" t="s">
        <v>697</v>
      </c>
      <c r="B439" s="10"/>
      <c r="C439" s="10"/>
      <c r="D439" s="10"/>
      <c r="E439" s="33"/>
    </row>
    <row r="440" spans="1:5">
      <c r="A440" s="34"/>
      <c r="B440" s="10"/>
      <c r="C440" s="10"/>
      <c r="D440" s="10"/>
    </row>
    <row r="441" spans="1:5">
      <c r="A441" s="34" t="s">
        <v>16</v>
      </c>
      <c r="B441" s="10"/>
      <c r="C441" s="10"/>
      <c r="D441" s="10"/>
    </row>
    <row r="442" spans="1:5">
      <c r="A442" s="34"/>
      <c r="B442" s="10"/>
      <c r="C442" s="10"/>
      <c r="D442" s="10"/>
    </row>
    <row r="443" spans="1:5">
      <c r="A443" s="35" t="s">
        <v>698</v>
      </c>
      <c r="B443" s="10"/>
      <c r="C443" s="10"/>
      <c r="D443" s="10"/>
    </row>
    <row r="444" spans="1:5">
      <c r="A444" s="34"/>
      <c r="B444" s="10"/>
      <c r="C444" s="10"/>
      <c r="D444" s="10"/>
    </row>
    <row r="445" ht="23" spans="1:5">
      <c r="A445" s="36" t="s">
        <v>699</v>
      </c>
      <c r="B445" s="10"/>
      <c r="C445" s="10"/>
      <c r="D445" s="10"/>
    </row>
    <row r="446" spans="1:5">
      <c r="A446" s="34"/>
      <c r="B446" s="10"/>
      <c r="C446" s="10"/>
      <c r="D446" s="10"/>
    </row>
    <row r="447" ht="17.5" spans="1:5">
      <c r="A447" s="37" t="s">
        <v>700</v>
      </c>
      <c r="B447" s="10"/>
      <c r="C447" s="10"/>
      <c r="D447" s="10"/>
    </row>
    <row r="448" spans="1:5">
      <c r="A448" s="34"/>
      <c r="B448" s="10"/>
      <c r="C448" s="10"/>
      <c r="D448" s="10"/>
    </row>
    <row r="449" spans="1:4">
      <c r="A449" s="34" t="s">
        <v>701</v>
      </c>
      <c r="B449" s="10"/>
      <c r="C449" s="10"/>
      <c r="D449" s="10"/>
    </row>
    <row r="450" spans="1:4">
      <c r="A450" s="34"/>
      <c r="B450" s="10"/>
      <c r="C450" s="10"/>
      <c r="D450" s="10"/>
    </row>
    <row r="451" spans="1:4">
      <c r="A451" s="38" t="s">
        <v>193</v>
      </c>
      <c r="B451" s="10"/>
      <c r="C451" s="10"/>
      <c r="D451" s="10"/>
    </row>
    <row r="452" spans="1:4">
      <c r="A452" s="34"/>
      <c r="B452" s="10"/>
      <c r="C452" s="10"/>
      <c r="D452" s="10"/>
    </row>
    <row r="453" spans="1:4">
      <c r="A453" s="38" t="s">
        <v>194</v>
      </c>
      <c r="B453" s="10"/>
      <c r="C453" s="10"/>
      <c r="D453" s="10"/>
    </row>
    <row r="454" spans="1:4">
      <c r="A454" s="34"/>
      <c r="B454" s="10"/>
      <c r="C454" s="10"/>
      <c r="D454" s="10"/>
    </row>
    <row r="455" spans="1:4">
      <c r="A455" s="38" t="s">
        <v>196</v>
      </c>
      <c r="B455" s="10"/>
      <c r="C455" s="10"/>
      <c r="D455" s="10"/>
    </row>
    <row r="456" spans="1:4">
      <c r="A456" s="34"/>
      <c r="B456" s="10"/>
      <c r="C456" s="10"/>
      <c r="D456" s="10"/>
    </row>
    <row r="457" spans="1:4">
      <c r="A457" s="38" t="s">
        <v>199</v>
      </c>
      <c r="B457" s="10"/>
      <c r="C457" s="10"/>
      <c r="D457" s="10"/>
    </row>
    <row r="458" spans="1:4">
      <c r="A458" s="34"/>
      <c r="B458" s="10"/>
      <c r="C458" s="10"/>
      <c r="D458" s="10"/>
    </row>
    <row r="459" spans="1:4">
      <c r="A459" s="38" t="s">
        <v>200</v>
      </c>
      <c r="B459" s="10"/>
      <c r="C459" s="10"/>
      <c r="D459" s="10"/>
    </row>
    <row r="460" spans="1:4">
      <c r="A460" s="34"/>
      <c r="B460" s="10"/>
      <c r="C460" s="10"/>
      <c r="D460" s="10"/>
    </row>
    <row r="461" spans="1:4">
      <c r="A461" s="38" t="s">
        <v>366</v>
      </c>
      <c r="B461" s="10"/>
      <c r="C461" s="10"/>
      <c r="D461" s="10"/>
    </row>
    <row r="462" spans="1:4">
      <c r="A462" s="34"/>
      <c r="B462" s="10"/>
      <c r="C462" s="10"/>
      <c r="D462" s="10"/>
    </row>
    <row r="463" spans="1:4">
      <c r="A463" s="38" t="s">
        <v>586</v>
      </c>
      <c r="B463" s="10"/>
      <c r="C463" s="10"/>
      <c r="D463" s="10"/>
    </row>
    <row r="464" spans="1:4">
      <c r="A464" s="34"/>
      <c r="B464" s="10"/>
      <c r="C464" s="10"/>
      <c r="D464" s="10"/>
    </row>
    <row r="465" spans="1:4">
      <c r="A465" s="34" t="s">
        <v>702</v>
      </c>
      <c r="B465" s="10"/>
      <c r="C465" s="10"/>
      <c r="D465" s="10"/>
    </row>
    <row r="466" spans="1:4">
      <c r="A466" s="34"/>
      <c r="B466" s="10"/>
      <c r="C466" s="10"/>
      <c r="D466" s="10"/>
    </row>
    <row r="467" spans="1:4">
      <c r="A467" s="35" t="s">
        <v>703</v>
      </c>
      <c r="B467" s="10"/>
      <c r="C467" s="10"/>
      <c r="D467" s="10"/>
    </row>
    <row r="468" spans="1:4">
      <c r="A468" s="34"/>
      <c r="B468" s="10"/>
      <c r="C468" s="10"/>
      <c r="D468" s="10"/>
    </row>
    <row r="469" spans="1:4">
      <c r="A469" s="34"/>
      <c r="B469" s="10"/>
      <c r="C469" s="10"/>
      <c r="D469" s="10"/>
    </row>
    <row r="470" spans="1:4">
      <c r="A470" s="34"/>
      <c r="B470" s="10"/>
      <c r="C470" s="10"/>
      <c r="D470" s="10"/>
    </row>
    <row r="471" ht="17.5" spans="1:4">
      <c r="A471" s="37" t="s">
        <v>704</v>
      </c>
      <c r="B471" s="10"/>
      <c r="C471" s="10"/>
      <c r="D471" s="10"/>
    </row>
    <row r="472" spans="1:4">
      <c r="A472" s="34"/>
      <c r="B472" s="10"/>
      <c r="C472" s="10"/>
      <c r="D472" s="10"/>
    </row>
    <row r="473" spans="1:4">
      <c r="A473" s="34" t="s">
        <v>705</v>
      </c>
      <c r="B473" s="10"/>
      <c r="C473" s="10"/>
      <c r="D473" s="10"/>
    </row>
    <row r="474" spans="1:4">
      <c r="A474" s="34"/>
      <c r="B474" s="10"/>
      <c r="C474" s="10"/>
      <c r="D474" s="10"/>
    </row>
    <row r="475" spans="1:4">
      <c r="A475" s="35" t="s">
        <v>592</v>
      </c>
      <c r="B475" s="10"/>
      <c r="C475" s="10"/>
      <c r="D475" s="10"/>
    </row>
    <row r="476" spans="1:4">
      <c r="A476" s="34"/>
      <c r="B476" s="10"/>
      <c r="C476" s="10"/>
      <c r="D476" s="10"/>
    </row>
    <row r="477" spans="1:4">
      <c r="A477" s="34" t="s">
        <v>706</v>
      </c>
      <c r="B477" s="10"/>
      <c r="C477" s="10"/>
      <c r="D477" s="10"/>
    </row>
    <row r="478" spans="1:4">
      <c r="A478" s="34"/>
      <c r="B478" s="10"/>
      <c r="C478" s="10"/>
      <c r="D478" s="10"/>
    </row>
    <row r="479" spans="1:4">
      <c r="A479" s="35" t="s">
        <v>707</v>
      </c>
      <c r="B479" s="10"/>
      <c r="C479" s="10"/>
      <c r="D479" s="10"/>
    </row>
    <row r="480" spans="1:4">
      <c r="A480" s="34"/>
      <c r="B480" s="10"/>
      <c r="C480" s="10"/>
      <c r="D480" s="10"/>
    </row>
    <row r="481" spans="1:4">
      <c r="A481" s="34"/>
      <c r="B481" s="10"/>
      <c r="C481" s="10"/>
      <c r="D481" s="10"/>
    </row>
    <row r="482" spans="1:4">
      <c r="A482" s="34"/>
      <c r="B482" s="10"/>
      <c r="C482" s="10"/>
      <c r="D482" s="10"/>
    </row>
    <row r="483" ht="17.5" spans="1:4">
      <c r="A483" s="37" t="s">
        <v>708</v>
      </c>
      <c r="B483" s="10"/>
      <c r="C483" s="10"/>
      <c r="D483" s="10"/>
    </row>
    <row r="484" spans="1:4">
      <c r="A484" s="34"/>
      <c r="B484" s="10"/>
      <c r="C484" s="10"/>
      <c r="D484" s="10"/>
    </row>
    <row r="485" spans="1:4">
      <c r="A485" s="34" t="s">
        <v>709</v>
      </c>
      <c r="B485" s="10"/>
      <c r="C485" s="10"/>
      <c r="D485" s="10"/>
    </row>
    <row r="486" spans="1:4">
      <c r="A486" s="34"/>
      <c r="B486" s="10"/>
      <c r="C486" s="10"/>
      <c r="D486" s="10"/>
    </row>
    <row r="487" spans="1:4">
      <c r="A487" s="35" t="s">
        <v>710</v>
      </c>
      <c r="B487" s="10"/>
      <c r="C487" s="10"/>
      <c r="D487" s="10"/>
    </row>
    <row r="488" spans="1:4">
      <c r="A488" s="34"/>
      <c r="B488" s="10"/>
      <c r="C488" s="10"/>
      <c r="D488" s="10"/>
    </row>
    <row r="489" spans="1:4">
      <c r="A489" s="34"/>
      <c r="B489" s="10"/>
      <c r="C489" s="10"/>
      <c r="D489" s="10"/>
    </row>
    <row r="490" spans="1:4">
      <c r="A490" s="34"/>
      <c r="B490" s="10"/>
      <c r="C490" s="10"/>
      <c r="D490" s="10"/>
    </row>
    <row r="491" ht="17.5" spans="1:4">
      <c r="A491" s="37" t="s">
        <v>711</v>
      </c>
      <c r="B491" s="10"/>
      <c r="C491" s="10"/>
      <c r="D491" s="10"/>
    </row>
    <row r="492" spans="1:4">
      <c r="A492" s="34"/>
      <c r="B492" s="10"/>
      <c r="C492" s="10"/>
      <c r="D492" s="10"/>
    </row>
    <row r="493" spans="1:4">
      <c r="A493" s="34" t="s">
        <v>712</v>
      </c>
      <c r="B493" s="10"/>
      <c r="C493" s="10"/>
      <c r="D493" s="10"/>
    </row>
    <row r="494" spans="1:4">
      <c r="A494" s="34"/>
      <c r="B494" s="10"/>
      <c r="C494" s="10"/>
      <c r="D494" s="10"/>
    </row>
    <row r="495" spans="1:4">
      <c r="A495" s="35" t="s">
        <v>713</v>
      </c>
      <c r="B495" s="10"/>
      <c r="C495" s="10"/>
      <c r="D495" s="10"/>
    </row>
    <row r="496" spans="1:4">
      <c r="A496" s="34"/>
      <c r="B496" s="10"/>
      <c r="C496" s="10"/>
      <c r="D496" s="10"/>
    </row>
    <row r="497" spans="1:4">
      <c r="A497" s="34" t="s">
        <v>154</v>
      </c>
      <c r="B497" s="10"/>
      <c r="C497" s="10"/>
      <c r="D497" s="10"/>
    </row>
    <row r="498" spans="1:4">
      <c r="A498" s="34"/>
      <c r="B498" s="10"/>
      <c r="C498" s="10"/>
      <c r="D498" s="10"/>
    </row>
    <row r="499" spans="1:4">
      <c r="A499" s="35" t="s">
        <v>714</v>
      </c>
      <c r="B499" s="10"/>
      <c r="C499" s="10"/>
      <c r="D499" s="10"/>
    </row>
    <row r="500" spans="1:4">
      <c r="A500" s="34"/>
      <c r="B500" s="10"/>
      <c r="C500" s="10"/>
      <c r="D500" s="10"/>
    </row>
    <row r="501" spans="1:4">
      <c r="A501" s="9"/>
    </row>
    <row r="502" spans="1:4">
      <c r="A502" s="9"/>
    </row>
    <row r="503" ht="31" spans="1:4">
      <c r="A503" s="29" t="s">
        <v>715</v>
      </c>
    </row>
    <row r="504" spans="1:4">
      <c r="A504" s="9"/>
    </row>
    <row r="505" spans="1:4">
      <c r="A505" s="9" t="s">
        <v>318</v>
      </c>
    </row>
    <row r="506" spans="1:4">
      <c r="A506" s="9"/>
    </row>
    <row r="507" spans="1:4">
      <c r="A507" s="4" t="s">
        <v>716</v>
      </c>
    </row>
    <row r="508" spans="1:4">
      <c r="A508" s="9"/>
    </row>
    <row r="509" spans="1:4">
      <c r="A509" s="9" t="s">
        <v>154</v>
      </c>
    </row>
    <row r="510" spans="1:4">
      <c r="A510" s="9"/>
    </row>
    <row r="511" spans="1:4">
      <c r="A511" s="4" t="s">
        <v>717</v>
      </c>
    </row>
    <row r="512" spans="1:4">
      <c r="A512" s="9"/>
    </row>
    <row r="513" spans="1:1">
      <c r="A513" s="9" t="s">
        <v>624</v>
      </c>
    </row>
    <row r="514" spans="1:1">
      <c r="A514" s="9"/>
    </row>
    <row r="515" ht="17.5" spans="1:1">
      <c r="A515" s="26" t="s">
        <v>718</v>
      </c>
    </row>
    <row r="516" spans="1:1">
      <c r="A516" s="9"/>
    </row>
    <row r="517" spans="1:1">
      <c r="A517" s="9" t="s">
        <v>719</v>
      </c>
    </row>
    <row r="518" spans="1:1">
      <c r="A518" s="9"/>
    </row>
    <row r="519" spans="1:1">
      <c r="A519" s="9" t="s">
        <v>720</v>
      </c>
    </row>
    <row r="520" spans="1:1">
      <c r="A520" s="9"/>
    </row>
    <row r="521" spans="1:1">
      <c r="A521" s="9" t="s">
        <v>721</v>
      </c>
    </row>
    <row r="522" spans="1:1">
      <c r="A522" s="9"/>
    </row>
    <row r="523" spans="1:1">
      <c r="A523" s="9" t="s">
        <v>722</v>
      </c>
    </row>
    <row r="524" spans="1:1">
      <c r="A524" s="9"/>
    </row>
    <row r="525" ht="17.5" spans="1:1">
      <c r="A525" s="26" t="s">
        <v>723</v>
      </c>
    </row>
    <row r="526" spans="1:1">
      <c r="A526" s="9"/>
    </row>
    <row r="527" spans="1:1">
      <c r="A527" s="9" t="s">
        <v>724</v>
      </c>
    </row>
    <row r="528" spans="1:1">
      <c r="A528" s="9"/>
    </row>
    <row r="529" spans="1:1">
      <c r="A529" s="9" t="s">
        <v>725</v>
      </c>
    </row>
    <row r="530" spans="1:1">
      <c r="A530" s="9"/>
    </row>
    <row r="531" spans="1:1">
      <c r="A531" s="9" t="s">
        <v>726</v>
      </c>
    </row>
    <row r="532" spans="1:1">
      <c r="A532" s="9"/>
    </row>
    <row r="533" spans="1:1">
      <c r="A533" s="9" t="s">
        <v>727</v>
      </c>
    </row>
    <row r="534" spans="1:1">
      <c r="A534" s="9"/>
    </row>
    <row r="535" spans="1:1">
      <c r="A535" s="9" t="s">
        <v>728</v>
      </c>
    </row>
    <row r="536" spans="1:1">
      <c r="A536" s="9"/>
    </row>
    <row r="537" spans="1:1">
      <c r="A537" s="9" t="s">
        <v>729</v>
      </c>
    </row>
    <row r="538" spans="1:1">
      <c r="A538" s="9"/>
    </row>
    <row r="539" spans="1:1">
      <c r="A539" s="9" t="s">
        <v>730</v>
      </c>
    </row>
    <row r="540" spans="1:1">
      <c r="A540" s="9"/>
    </row>
    <row r="541" spans="1:1">
      <c r="A541" s="9" t="s">
        <v>731</v>
      </c>
    </row>
    <row r="542" spans="1:1">
      <c r="A542" s="9"/>
    </row>
    <row r="543" spans="1:1">
      <c r="A543" s="9" t="s">
        <v>732</v>
      </c>
    </row>
    <row r="544" spans="1:1">
      <c r="A544" s="9"/>
    </row>
    <row r="545" ht="17.5" spans="1:1">
      <c r="A545" s="26" t="s">
        <v>733</v>
      </c>
    </row>
    <row r="546" spans="1:1">
      <c r="A546" s="9"/>
    </row>
    <row r="547" spans="1:1">
      <c r="A547" s="4" t="s">
        <v>734</v>
      </c>
    </row>
    <row r="548" spans="1:1">
      <c r="A548" s="9"/>
    </row>
    <row r="549" spans="1:1">
      <c r="A549" s="4" t="s">
        <v>735</v>
      </c>
    </row>
    <row r="550" spans="1:1">
      <c r="A550" s="9"/>
    </row>
    <row r="551" spans="1:1">
      <c r="A551" s="4" t="s">
        <v>736</v>
      </c>
    </row>
    <row r="552" spans="1:1">
      <c r="A552" s="9"/>
    </row>
    <row r="553" spans="1:1">
      <c r="A553" s="4" t="s">
        <v>737</v>
      </c>
    </row>
    <row r="554" spans="1:1">
      <c r="A554" s="9"/>
    </row>
    <row r="555" spans="1:1">
      <c r="A555" s="4" t="s">
        <v>738</v>
      </c>
    </row>
    <row r="556" spans="1:1">
      <c r="A556" s="9"/>
    </row>
    <row r="557" spans="1:1">
      <c r="A557" s="9"/>
    </row>
    <row r="558" spans="1:1">
      <c r="A558" s="9"/>
    </row>
    <row r="559" ht="31" spans="1:1">
      <c r="A559" s="29" t="s">
        <v>739</v>
      </c>
    </row>
    <row r="560" spans="1:1">
      <c r="A560" s="9"/>
    </row>
    <row r="561" spans="1:1">
      <c r="A561" s="9" t="s">
        <v>16</v>
      </c>
    </row>
    <row r="562" spans="1:1">
      <c r="A562" s="9"/>
    </row>
    <row r="563" spans="1:1">
      <c r="A563" s="4" t="s">
        <v>740</v>
      </c>
    </row>
    <row r="564" spans="1:1">
      <c r="A564" s="9"/>
    </row>
    <row r="565" spans="1:1">
      <c r="A565" s="9" t="s">
        <v>221</v>
      </c>
    </row>
    <row r="566" spans="1:1">
      <c r="A566" s="9"/>
    </row>
    <row r="567" spans="1:1">
      <c r="A567" s="4" t="s">
        <v>741</v>
      </c>
    </row>
    <row r="568" spans="1:1">
      <c r="A568" s="9"/>
    </row>
    <row r="569" spans="1:1">
      <c r="A569" s="9" t="s">
        <v>742</v>
      </c>
    </row>
    <row r="570" spans="1:1">
      <c r="A570" s="9"/>
    </row>
    <row r="571" spans="1:1">
      <c r="A571" s="4" t="s">
        <v>743</v>
      </c>
    </row>
    <row r="572" spans="1:1">
      <c r="A572" s="9"/>
    </row>
    <row r="573" spans="1:1">
      <c r="A573" s="9" t="s">
        <v>744</v>
      </c>
    </row>
    <row r="574" spans="1:1">
      <c r="A574" s="9"/>
    </row>
    <row r="575" spans="1:1">
      <c r="A575" s="27" t="s">
        <v>745</v>
      </c>
    </row>
    <row r="576" spans="1:1">
      <c r="A576" s="9"/>
    </row>
    <row r="577" spans="1:1">
      <c r="A577" s="27" t="s">
        <v>746</v>
      </c>
    </row>
    <row r="578" spans="1:1">
      <c r="A578" s="9"/>
    </row>
    <row r="579" spans="1:1">
      <c r="A579" s="27" t="s">
        <v>747</v>
      </c>
    </row>
    <row r="580" spans="1:1">
      <c r="A580" s="9"/>
    </row>
    <row r="581" spans="1:1">
      <c r="A581" s="27" t="s">
        <v>748</v>
      </c>
    </row>
    <row r="582" spans="1:1">
      <c r="A582" s="9"/>
    </row>
    <row r="583" spans="1:1">
      <c r="A583" s="9" t="s">
        <v>154</v>
      </c>
    </row>
    <row r="584" spans="1:1">
      <c r="A584" s="9"/>
    </row>
    <row r="585" spans="1:1">
      <c r="A585" s="4" t="s">
        <v>749</v>
      </c>
    </row>
    <row r="586" spans="1:1">
      <c r="A586" s="9"/>
    </row>
    <row r="587" spans="1:1">
      <c r="A587" s="9" t="s">
        <v>750</v>
      </c>
    </row>
    <row r="588" spans="1:1">
      <c r="A588" s="9"/>
    </row>
    <row r="589" spans="1:1">
      <c r="A589" s="4" t="s">
        <v>751</v>
      </c>
    </row>
    <row r="590" spans="1:1">
      <c r="A590" s="9"/>
    </row>
    <row r="591" spans="1:1">
      <c r="A591" s="9" t="s">
        <v>752</v>
      </c>
    </row>
    <row r="592" spans="1:1">
      <c r="A592" s="9"/>
    </row>
    <row r="593" spans="1:1">
      <c r="A593" s="4" t="s">
        <v>753</v>
      </c>
    </row>
    <row r="594" spans="1:1">
      <c r="A594" s="9"/>
    </row>
    <row r="595" spans="1:1">
      <c r="A595" s="9"/>
    </row>
    <row r="596" spans="1:1">
      <c r="A596" s="9"/>
    </row>
    <row r="597" ht="31" spans="1:1">
      <c r="A597" s="29" t="s">
        <v>754</v>
      </c>
    </row>
    <row r="598" spans="1:1">
      <c r="A598" s="9"/>
    </row>
    <row r="599" spans="1:1">
      <c r="A599" s="9" t="s">
        <v>755</v>
      </c>
    </row>
    <row r="600" spans="1:1">
      <c r="A600" s="9"/>
    </row>
    <row r="601" spans="1:1">
      <c r="A601" s="9" t="s">
        <v>756</v>
      </c>
    </row>
    <row r="602" spans="1:1">
      <c r="A602" s="9"/>
    </row>
    <row r="603" spans="1:1">
      <c r="A603" s="9" t="s">
        <v>757</v>
      </c>
    </row>
    <row r="605" s="10" customFormat="1"/>
    <row r="606" ht="17.5" spans="1:1">
      <c r="A606" s="11" t="s">
        <v>758</v>
      </c>
    </row>
    <row r="608" ht="17.5" spans="1:1">
      <c r="A608" s="39" t="s">
        <v>759</v>
      </c>
    </row>
    <row r="609" ht="17.5" spans="1:4">
      <c r="A609" s="39" t="s">
        <v>760</v>
      </c>
    </row>
    <row r="611" ht="17.5" spans="1:4">
      <c r="A611" s="40" t="s">
        <v>761</v>
      </c>
      <c r="B611" s="40"/>
      <c r="C611" s="40"/>
      <c r="D611" s="40"/>
    </row>
    <row r="612" ht="22" customHeight="1" spans="1:4">
      <c r="A612" s="6" t="s">
        <v>762</v>
      </c>
      <c r="B612" s="6" t="s">
        <v>763</v>
      </c>
      <c r="C612" s="6" t="s">
        <v>764</v>
      </c>
      <c r="D612" s="6" t="s">
        <v>765</v>
      </c>
    </row>
    <row r="613" spans="1:4">
      <c r="A613" s="7" t="s">
        <v>766</v>
      </c>
      <c r="B613" s="7" t="s">
        <v>767</v>
      </c>
      <c r="C613" s="7" t="s">
        <v>768</v>
      </c>
      <c r="D613" s="7" t="s">
        <v>769</v>
      </c>
    </row>
    <row r="614" spans="1:4">
      <c r="A614" s="7" t="s">
        <v>770</v>
      </c>
      <c r="B614" s="7" t="s">
        <v>771</v>
      </c>
      <c r="C614" s="7" t="s">
        <v>772</v>
      </c>
      <c r="D614" s="7" t="s">
        <v>773</v>
      </c>
    </row>
    <row r="615" spans="1:4">
      <c r="A615" s="7" t="s">
        <v>774</v>
      </c>
      <c r="B615" s="7" t="s">
        <v>775</v>
      </c>
      <c r="C615" s="7" t="s">
        <v>776</v>
      </c>
      <c r="D615" s="7" t="s">
        <v>422</v>
      </c>
    </row>
    <row r="616" spans="1:4">
      <c r="A616" s="7" t="s">
        <v>777</v>
      </c>
      <c r="B616" s="7" t="s">
        <v>778</v>
      </c>
      <c r="C616" s="7" t="s">
        <v>779</v>
      </c>
      <c r="D616" s="7" t="s">
        <v>780</v>
      </c>
    </row>
    <row r="617" spans="1:4">
      <c r="A617" s="7" t="s">
        <v>781</v>
      </c>
      <c r="B617" s="7" t="s">
        <v>782</v>
      </c>
      <c r="C617" s="7" t="s">
        <v>783</v>
      </c>
      <c r="D617" s="7" t="s">
        <v>784</v>
      </c>
    </row>
    <row r="618" spans="1:4">
      <c r="A618" s="7" t="s">
        <v>785</v>
      </c>
      <c r="B618" s="7" t="s">
        <v>786</v>
      </c>
      <c r="C618" s="7" t="s">
        <v>786</v>
      </c>
      <c r="D618" s="7" t="s">
        <v>786</v>
      </c>
    </row>
    <row r="619" ht="42" spans="1:4">
      <c r="A619" s="7" t="s">
        <v>787</v>
      </c>
      <c r="B619" s="7" t="s">
        <v>788</v>
      </c>
      <c r="C619" s="41" t="s">
        <v>789</v>
      </c>
      <c r="D619" s="7" t="s">
        <v>790</v>
      </c>
    </row>
    <row r="620" spans="1:4">
      <c r="A620" s="7" t="s">
        <v>791</v>
      </c>
      <c r="B620" s="7" t="s">
        <v>792</v>
      </c>
      <c r="C620" s="7" t="s">
        <v>793</v>
      </c>
      <c r="D620" s="7" t="s">
        <v>794</v>
      </c>
    </row>
    <row r="621" spans="1:4">
      <c r="A621" s="7" t="s">
        <v>795</v>
      </c>
      <c r="B621" s="7" t="s">
        <v>796</v>
      </c>
      <c r="C621" s="41" t="s">
        <v>797</v>
      </c>
      <c r="D621" s="7" t="s">
        <v>798</v>
      </c>
    </row>
    <row r="624" ht="17.5" spans="1:4">
      <c r="A624" s="12" t="s">
        <v>799</v>
      </c>
    </row>
    <row r="625" ht="17.5" spans="1:4">
      <c r="A625" s="12" t="s">
        <v>800</v>
      </c>
    </row>
    <row r="626" ht="17.5" spans="1:4">
      <c r="A626" s="12" t="s">
        <v>801</v>
      </c>
    </row>
    <row r="627" ht="17.5" spans="1:4">
      <c r="A627" s="42" t="s">
        <v>802</v>
      </c>
      <c r="B627" s="42"/>
      <c r="C627" s="42"/>
      <c r="D627" s="42" t="s">
        <v>803</v>
      </c>
    </row>
    <row r="628" ht="17.5" spans="1:4">
      <c r="A628" s="43" t="s">
        <v>804</v>
      </c>
      <c r="B628" s="43"/>
      <c r="C628" s="43"/>
      <c r="D628" s="43">
        <v>100</v>
      </c>
    </row>
    <row r="629" ht="17.5" spans="1:4">
      <c r="A629" s="43" t="s">
        <v>805</v>
      </c>
      <c r="B629" s="43"/>
      <c r="C629" s="43"/>
      <c r="D629" s="43">
        <v>80</v>
      </c>
    </row>
    <row r="630" ht="17.5" spans="1:4">
      <c r="A630" s="43" t="s">
        <v>806</v>
      </c>
      <c r="B630" s="43"/>
      <c r="C630" s="43"/>
      <c r="D630" s="43">
        <v>60</v>
      </c>
    </row>
    <row r="631" ht="17.5" spans="1:4">
      <c r="A631" s="43" t="s">
        <v>807</v>
      </c>
      <c r="B631" s="43"/>
      <c r="C631" s="43"/>
      <c r="D631" s="43">
        <v>40</v>
      </c>
    </row>
    <row r="632" ht="17.5" spans="1:4">
      <c r="A632" s="43" t="s">
        <v>808</v>
      </c>
      <c r="B632" s="43"/>
      <c r="C632" s="43"/>
      <c r="D632" s="43">
        <v>0</v>
      </c>
    </row>
    <row r="634" ht="17.5" spans="1:4">
      <c r="A634" s="44" t="s">
        <v>809</v>
      </c>
    </row>
    <row r="635" ht="17.5" spans="1:4">
      <c r="A635" s="44" t="s">
        <v>810</v>
      </c>
    </row>
    <row r="636" ht="17.5" spans="1:4">
      <c r="A636" s="44" t="s">
        <v>811</v>
      </c>
    </row>
    <row r="638" spans="1:4">
      <c r="A638" t="s">
        <v>812</v>
      </c>
    </row>
    <row r="640" spans="1:4">
      <c r="D640" s="14" t="s">
        <v>813</v>
      </c>
    </row>
    <row r="647" ht="16" customHeight="1" spans="1:3">
      <c r="A647" s="45" t="s">
        <v>814</v>
      </c>
      <c r="B647" s="46"/>
      <c r="C647" s="46"/>
    </row>
    <row r="648" spans="1:3">
      <c r="A648" s="47" t="s">
        <v>815</v>
      </c>
      <c r="B648" s="47"/>
      <c r="C648" s="48" t="s">
        <v>816</v>
      </c>
    </row>
    <row r="649" spans="1:3">
      <c r="A649" s="49" t="s">
        <v>817</v>
      </c>
      <c r="B649" s="49"/>
      <c r="C649" s="50" t="str">
        <f>IF([1]保险方案评分计算!J29=MAX([1]保险方案评分计算!$J$29:$J$31),"A保险公司",IF([1]保险方案评分计算!J30=MAX([1]保险方案评分计算!$J$29:$J$31),"B保险公司","C保险公司"))</f>
        <v>B保险公司</v>
      </c>
    </row>
    <row r="650" spans="1:3">
      <c r="A650" s="49" t="s">
        <v>818</v>
      </c>
      <c r="B650" s="49"/>
      <c r="C650" s="51">
        <f>MAX([1]保险方案评分计算!$J$29:$J$31)</f>
        <v>77.7857142857143</v>
      </c>
    </row>
    <row r="651" spans="1:3">
      <c r="A651" s="49" t="s">
        <v>819</v>
      </c>
      <c r="B651" s="49"/>
      <c r="C651" s="51">
        <f>IF(C649="A保险公司",[1]保险方案评分计算!$B$5*[1]保险方案评分计算!$B$36,IF(C649="B保险公司",[1]保险方案评分计算!$B$6*[1]保险方案评分计算!$B$36,[1]保险方案评分计算!$B$7*[1]保险方案评分计算!$B$36))</f>
        <v>11000</v>
      </c>
    </row>
    <row r="652" spans="1:3">
      <c r="A652" s="49" t="s">
        <v>820</v>
      </c>
      <c r="B652" s="49"/>
      <c r="C652" s="50" t="s">
        <v>33</v>
      </c>
    </row>
    <row r="653" ht="84" spans="1:3">
      <c r="A653" s="52" t="s">
        <v>821</v>
      </c>
      <c r="B653" s="49"/>
      <c r="C653" s="53" t="str">
        <f>"选择"&amp;C649&amp;"：综合得分最高"&amp;TEXT(C650,"0.00")&amp;"分，洪涝救援明确承保、免赔额最低、赔付时效最快，且保障额度与保费投入较为均衡。"</f>
        <v>选择B保险公司：综合得分最高77.79分，洪涝救援明确承保、免赔额最低、赔付时效最快，且保障额度与保费投入较为均衡。</v>
      </c>
    </row>
    <row r="656" s="10" customFormat="1"/>
    <row r="659" ht="25.5" spans="1:3">
      <c r="A659" s="54" t="s">
        <v>822</v>
      </c>
    </row>
    <row r="661" spans="1:3">
      <c r="A661" s="5" t="s">
        <v>823</v>
      </c>
      <c r="B661" s="5" t="s">
        <v>824</v>
      </c>
      <c r="C661" s="5" t="s">
        <v>825</v>
      </c>
    </row>
    <row r="662" spans="1:3">
      <c r="A662" s="2" t="s">
        <v>826</v>
      </c>
      <c r="B662" s="2" t="s">
        <v>827</v>
      </c>
      <c r="C662" s="5" t="s">
        <v>828</v>
      </c>
    </row>
    <row r="663" spans="1:3">
      <c r="A663" s="2" t="s">
        <v>829</v>
      </c>
      <c r="B663" s="2" t="s">
        <v>830</v>
      </c>
      <c r="C663" s="2" t="s">
        <v>831</v>
      </c>
    </row>
    <row r="664" ht="28" spans="1:3">
      <c r="A664" s="2" t="s">
        <v>832</v>
      </c>
      <c r="B664" s="2" t="s">
        <v>833</v>
      </c>
      <c r="C664" s="2" t="s">
        <v>834</v>
      </c>
    </row>
    <row r="665" ht="28" spans="1:3">
      <c r="A665" s="2" t="s">
        <v>835</v>
      </c>
      <c r="B665" s="2" t="s">
        <v>836</v>
      </c>
      <c r="C665" s="2" t="s">
        <v>837</v>
      </c>
    </row>
    <row r="666" ht="28" spans="1:3">
      <c r="A666" s="2" t="s">
        <v>838</v>
      </c>
      <c r="B666" s="2" t="s">
        <v>839</v>
      </c>
      <c r="C666" s="2" t="s">
        <v>840</v>
      </c>
    </row>
    <row r="667" ht="28" spans="1:3">
      <c r="A667" s="2" t="s">
        <v>841</v>
      </c>
      <c r="B667" s="2" t="s">
        <v>842</v>
      </c>
      <c r="C667" s="2" t="s">
        <v>843</v>
      </c>
    </row>
    <row r="668" ht="42" spans="1:3">
      <c r="A668" s="2" t="s">
        <v>844</v>
      </c>
      <c r="B668" s="2" t="s">
        <v>845</v>
      </c>
      <c r="C668" s="2" t="s">
        <v>846</v>
      </c>
    </row>
    <row r="669" ht="28" spans="1:3">
      <c r="A669" s="2" t="s">
        <v>847</v>
      </c>
      <c r="B669" s="2" t="s">
        <v>848</v>
      </c>
      <c r="C669" s="5" t="s">
        <v>849</v>
      </c>
    </row>
    <row r="670" ht="28" spans="1:3">
      <c r="A670" s="2" t="s">
        <v>850</v>
      </c>
      <c r="B670" s="2" t="s">
        <v>851</v>
      </c>
      <c r="C670" s="2" t="s">
        <v>852</v>
      </c>
    </row>
    <row r="672" spans="1:3">
      <c r="A672" s="4" t="s">
        <v>853</v>
      </c>
    </row>
    <row r="674" spans="1:1">
      <c r="A674" s="4" t="s">
        <v>854</v>
      </c>
    </row>
    <row r="675" spans="1:1">
      <c r="A675" s="55" t="s">
        <v>855</v>
      </c>
    </row>
    <row r="676" spans="1:1">
      <c r="A676" s="4" t="s">
        <v>856</v>
      </c>
    </row>
    <row r="678" spans="1:1">
      <c r="A678" s="9" t="s">
        <v>857</v>
      </c>
    </row>
    <row r="679" spans="1:1">
      <c r="A679" s="4" t="s">
        <v>858</v>
      </c>
    </row>
  </sheetData>
  <mergeCells count="14">
    <mergeCell ref="A611:D611"/>
    <mergeCell ref="A627:C627"/>
    <mergeCell ref="A628:C628"/>
    <mergeCell ref="A629:C629"/>
    <mergeCell ref="A630:C630"/>
    <mergeCell ref="A631:C631"/>
    <mergeCell ref="A632:C632"/>
    <mergeCell ref="A647:C647"/>
    <mergeCell ref="A648:B648"/>
    <mergeCell ref="A649:B649"/>
    <mergeCell ref="A650:B650"/>
    <mergeCell ref="A651:B651"/>
    <mergeCell ref="A652:B652"/>
    <mergeCell ref="A653:B653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6"/>
  <sheetViews>
    <sheetView zoomScale="55" zoomScaleNormal="55" topLeftCell="A29" workbookViewId="0">
      <selection activeCell="M81" sqref="M81"/>
    </sheetView>
  </sheetViews>
  <sheetFormatPr defaultColWidth="9" defaultRowHeight="14"/>
  <cols>
    <col min="3" max="5" width="13.4545454545455"/>
  </cols>
  <sheetData>
    <row r="1" ht="17.5" spans="1:1">
      <c r="A1" s="11" t="s">
        <v>859</v>
      </c>
    </row>
    <row r="2" ht="17.5" spans="1:1">
      <c r="A2" s="12" t="s">
        <v>860</v>
      </c>
    </row>
    <row r="4" ht="17.5" spans="1:1">
      <c r="A4" s="12" t="s">
        <v>861</v>
      </c>
    </row>
    <row r="5" ht="17.5" spans="1:1">
      <c r="A5" s="12" t="s">
        <v>862</v>
      </c>
    </row>
    <row r="6" ht="17.5" spans="1:1">
      <c r="A6" s="12" t="s">
        <v>863</v>
      </c>
    </row>
    <row r="7" ht="17.5" spans="1:1">
      <c r="A7" s="12" t="s">
        <v>864</v>
      </c>
    </row>
    <row r="8" ht="17.5" spans="1:1">
      <c r="A8" s="12" t="s">
        <v>865</v>
      </c>
    </row>
    <row r="9" ht="17.5" spans="1:1">
      <c r="A9" s="12" t="s">
        <v>866</v>
      </c>
    </row>
    <row r="10" ht="17.5" spans="1:1">
      <c r="A10" s="12" t="s">
        <v>867</v>
      </c>
    </row>
    <row r="11" ht="17.5" spans="1:1">
      <c r="A11" s="12" t="s">
        <v>868</v>
      </c>
    </row>
    <row r="12" ht="17.5" spans="1:1">
      <c r="A12" s="12" t="s">
        <v>801</v>
      </c>
    </row>
    <row r="13" ht="17.5" spans="1:1">
      <c r="A13" s="13" t="s">
        <v>869</v>
      </c>
    </row>
    <row r="14" ht="17.5" spans="1:1">
      <c r="A14" s="12" t="s">
        <v>870</v>
      </c>
    </row>
    <row r="15" ht="17.5" spans="1:1">
      <c r="A15" s="12" t="s">
        <v>871</v>
      </c>
    </row>
    <row r="16" ht="17.5" spans="1:1">
      <c r="A16" s="12" t="s">
        <v>872</v>
      </c>
    </row>
    <row r="17" ht="17.5" spans="1:7">
      <c r="A17" s="12" t="s">
        <v>873</v>
      </c>
    </row>
    <row r="18" ht="17.5" spans="1:7">
      <c r="A18" s="12" t="s">
        <v>874</v>
      </c>
    </row>
    <row r="19" ht="17.5" spans="1:7">
      <c r="A19" s="12" t="s">
        <v>875</v>
      </c>
    </row>
    <row r="20" ht="17.5" spans="1:7">
      <c r="A20" s="12" t="s">
        <v>876</v>
      </c>
    </row>
    <row r="21" ht="17.5" spans="1:7">
      <c r="A21" s="12" t="s">
        <v>877</v>
      </c>
    </row>
    <row r="22" ht="17.5" spans="1:7">
      <c r="A22" s="12" t="s">
        <v>878</v>
      </c>
    </row>
    <row r="23" ht="17.5" spans="1:7">
      <c r="A23" s="12" t="s">
        <v>879</v>
      </c>
    </row>
    <row r="24" ht="17.5" spans="1:7">
      <c r="A24" s="12" t="s">
        <v>880</v>
      </c>
    </row>
    <row r="25" ht="17.5" spans="1:7">
      <c r="A25" s="12" t="s">
        <v>881</v>
      </c>
    </row>
    <row r="26" ht="17.5" spans="1:7">
      <c r="A26" s="12" t="s">
        <v>882</v>
      </c>
    </row>
    <row r="27" ht="17.5" spans="1:7">
      <c r="A27" s="12" t="s">
        <v>801</v>
      </c>
    </row>
    <row r="28" ht="17.5" spans="1:7">
      <c r="A28" s="12"/>
    </row>
    <row r="29" spans="1:7">
      <c r="A29" t="s">
        <v>883</v>
      </c>
    </row>
    <row r="30" ht="17.5" spans="1:7">
      <c r="A30" s="12"/>
    </row>
    <row r="31" ht="17.5" spans="1:7">
      <c r="A31" s="12"/>
    </row>
    <row r="32" ht="17.5" spans="1:7">
      <c r="A32" s="12"/>
      <c r="G32" s="14" t="s">
        <v>813</v>
      </c>
    </row>
    <row r="34" ht="17.5" spans="1:12">
      <c r="A34" s="12"/>
    </row>
    <row r="35" ht="17.5" spans="1:12">
      <c r="A35" s="12" t="s">
        <v>884</v>
      </c>
      <c r="L35" s="14" t="s">
        <v>885</v>
      </c>
    </row>
    <row r="36" ht="17.5" spans="1:12">
      <c r="A36" s="12"/>
    </row>
    <row r="37" ht="17.5" spans="1:12">
      <c r="A37" s="12" t="s">
        <v>886</v>
      </c>
    </row>
    <row r="38" ht="17.5" spans="1:12">
      <c r="A38" s="15" t="s">
        <v>801</v>
      </c>
    </row>
    <row r="39" ht="17.5" spans="1:12">
      <c r="A39" s="12"/>
    </row>
    <row r="40" ht="17.5" spans="1:12">
      <c r="A40" s="12"/>
    </row>
    <row r="41" ht="17.5" spans="1:12">
      <c r="A41" s="12"/>
    </row>
    <row r="42" ht="17.5" spans="1:12">
      <c r="A42" s="12" t="s">
        <v>801</v>
      </c>
    </row>
    <row r="44" ht="17.5" spans="1:12">
      <c r="A44" s="15" t="s">
        <v>801</v>
      </c>
    </row>
    <row r="48" ht="17.5" spans="1:12">
      <c r="A48" s="12"/>
    </row>
    <row r="57" s="10" customFormat="1"/>
    <row r="59" ht="17.5" spans="2:2">
      <c r="B59" s="16" t="s">
        <v>887</v>
      </c>
    </row>
    <row r="61" ht="17.5" spans="2:2">
      <c r="B61" s="12" t="s">
        <v>888</v>
      </c>
    </row>
    <row r="63" ht="22" customHeight="1" spans="2:2">
      <c r="B63" t="s">
        <v>889</v>
      </c>
    </row>
    <row r="66" spans="2:7">
      <c r="G66" s="14" t="s">
        <v>813</v>
      </c>
    </row>
    <row r="73" spans="2:7">
      <c r="B73" t="s">
        <v>890</v>
      </c>
    </row>
    <row r="74" spans="2:7">
      <c r="D74" s="14" t="s">
        <v>885</v>
      </c>
    </row>
    <row r="76" spans="2:7">
      <c r="B76" s="17" t="s">
        <v>891</v>
      </c>
      <c r="C76" s="17"/>
      <c r="D76" s="17"/>
      <c r="E76" s="17"/>
      <c r="F76" s="17"/>
    </row>
    <row r="77" spans="2:7">
      <c r="B77" s="18" t="s">
        <v>892</v>
      </c>
      <c r="C77" s="18" t="s">
        <v>893</v>
      </c>
      <c r="D77" s="18" t="s">
        <v>457</v>
      </c>
      <c r="E77" s="18" t="s">
        <v>894</v>
      </c>
      <c r="F77" s="18" t="s">
        <v>821</v>
      </c>
    </row>
    <row r="78" ht="42" spans="2:7">
      <c r="B78" s="19" t="s">
        <v>895</v>
      </c>
      <c r="C78" s="20">
        <v>2816906</v>
      </c>
      <c r="D78" s="20">
        <v>2909004</v>
      </c>
      <c r="E78" s="20">
        <v>4278517.5</v>
      </c>
      <c r="F78" s="19" t="s">
        <v>896</v>
      </c>
    </row>
    <row r="79" ht="28" spans="2:7">
      <c r="B79" s="19" t="s">
        <v>897</v>
      </c>
      <c r="C79" s="21">
        <v>3</v>
      </c>
      <c r="D79" s="21">
        <v>3</v>
      </c>
      <c r="E79" s="21">
        <v>5</v>
      </c>
      <c r="F79" s="19" t="s">
        <v>898</v>
      </c>
    </row>
    <row r="80" ht="28" spans="2:7">
      <c r="B80" s="19" t="s">
        <v>899</v>
      </c>
      <c r="C80" s="21">
        <v>7000</v>
      </c>
      <c r="D80" s="21">
        <v>7000</v>
      </c>
      <c r="E80" s="21">
        <v>8100</v>
      </c>
      <c r="F80" s="19" t="s">
        <v>900</v>
      </c>
    </row>
    <row r="81" ht="42" spans="1:6">
      <c r="B81" s="19" t="s">
        <v>901</v>
      </c>
      <c r="C81" s="22">
        <v>402.415142857143</v>
      </c>
      <c r="D81" s="22">
        <v>415.572</v>
      </c>
      <c r="E81" s="22">
        <v>528.212037037037</v>
      </c>
      <c r="F81" s="19" t="s">
        <v>902</v>
      </c>
    </row>
    <row r="82" ht="42" spans="1:6">
      <c r="B82" s="23" t="s">
        <v>903</v>
      </c>
      <c r="C82" s="19" t="s">
        <v>904</v>
      </c>
      <c r="D82" s="19" t="s">
        <v>905</v>
      </c>
      <c r="E82" s="19" t="s">
        <v>906</v>
      </c>
      <c r="F82" s="19" t="s">
        <v>907</v>
      </c>
    </row>
    <row r="84" s="10" customFormat="1"/>
    <row r="86" ht="17.5" spans="1:6">
      <c r="A86" s="11" t="s">
        <v>908</v>
      </c>
    </row>
    <row r="87" ht="17.5" spans="1:6">
      <c r="A87" s="11"/>
    </row>
    <row r="88" ht="17.5" spans="1:6">
      <c r="A88" s="11" t="s">
        <v>909</v>
      </c>
    </row>
    <row r="89" spans="1:6">
      <c r="A89" s="24" t="s">
        <v>910</v>
      </c>
    </row>
    <row r="90" spans="1:6">
      <c r="A90" t="s">
        <v>911</v>
      </c>
    </row>
    <row r="91" spans="1:6">
      <c r="A91" t="s">
        <v>912</v>
      </c>
    </row>
    <row r="93" ht="25" customHeight="1" spans="1:6">
      <c r="A93" s="17" t="s">
        <v>913</v>
      </c>
      <c r="B93" s="17"/>
      <c r="C93" s="17"/>
      <c r="D93" s="17"/>
      <c r="E93" s="17"/>
    </row>
    <row r="94" spans="1:6">
      <c r="A94" s="6" t="s">
        <v>914</v>
      </c>
      <c r="B94" s="6" t="s">
        <v>892</v>
      </c>
      <c r="C94" s="6" t="s">
        <v>915</v>
      </c>
      <c r="D94" s="6" t="s">
        <v>916</v>
      </c>
      <c r="E94" s="6" t="s">
        <v>917</v>
      </c>
    </row>
    <row r="95" spans="1:6">
      <c r="A95" s="7" t="s">
        <v>918</v>
      </c>
      <c r="B95" s="7" t="s">
        <v>194</v>
      </c>
      <c r="C95" s="7">
        <v>2200</v>
      </c>
      <c r="D95" s="7">
        <v>3000</v>
      </c>
      <c r="E95" s="7">
        <v>800</v>
      </c>
    </row>
    <row r="96" ht="28" spans="1:6">
      <c r="A96" s="7" t="s">
        <v>918</v>
      </c>
      <c r="B96" s="7" t="s">
        <v>196</v>
      </c>
      <c r="C96" s="7">
        <v>1500</v>
      </c>
      <c r="D96" s="7">
        <v>2100</v>
      </c>
      <c r="E96" s="7">
        <v>600</v>
      </c>
    </row>
    <row r="97" spans="1:5">
      <c r="A97" s="7" t="s">
        <v>918</v>
      </c>
      <c r="B97" s="7" t="s">
        <v>195</v>
      </c>
      <c r="C97" s="7">
        <v>320</v>
      </c>
      <c r="D97" s="7">
        <v>440</v>
      </c>
      <c r="E97" s="7">
        <v>120</v>
      </c>
    </row>
    <row r="98" ht="28" spans="1:5">
      <c r="A98" s="7" t="s">
        <v>918</v>
      </c>
      <c r="B98" s="7" t="s">
        <v>919</v>
      </c>
      <c r="C98" s="7">
        <v>8</v>
      </c>
      <c r="D98" s="7">
        <v>33</v>
      </c>
      <c r="E98" s="7">
        <v>25</v>
      </c>
    </row>
    <row r="99" spans="1:5">
      <c r="A99" s="7" t="s">
        <v>920</v>
      </c>
      <c r="B99" s="7" t="s">
        <v>194</v>
      </c>
      <c r="C99" s="7">
        <v>1800</v>
      </c>
      <c r="D99" s="7">
        <v>2500</v>
      </c>
      <c r="E99" s="7">
        <v>700</v>
      </c>
    </row>
    <row r="100" ht="28" spans="1:5">
      <c r="A100" s="7" t="s">
        <v>920</v>
      </c>
      <c r="B100" s="7" t="s">
        <v>196</v>
      </c>
      <c r="C100" s="7">
        <v>1200</v>
      </c>
      <c r="D100" s="7">
        <v>1700</v>
      </c>
      <c r="E100" s="7">
        <v>500</v>
      </c>
    </row>
    <row r="101" spans="1:5">
      <c r="A101" s="7" t="s">
        <v>920</v>
      </c>
      <c r="B101" s="7" t="s">
        <v>195</v>
      </c>
      <c r="C101" s="7">
        <v>280</v>
      </c>
      <c r="D101" s="7">
        <v>380</v>
      </c>
      <c r="E101" s="7">
        <v>100</v>
      </c>
    </row>
    <row r="102" ht="28" spans="1:5">
      <c r="A102" s="7" t="s">
        <v>920</v>
      </c>
      <c r="B102" s="7" t="s">
        <v>919</v>
      </c>
      <c r="C102" s="7">
        <v>4</v>
      </c>
      <c r="D102" s="7">
        <v>17</v>
      </c>
      <c r="E102" s="7">
        <v>13</v>
      </c>
    </row>
    <row r="105" ht="17.5" spans="1:5">
      <c r="A105" s="11" t="s">
        <v>921</v>
      </c>
    </row>
    <row r="106" ht="17.5" spans="1:5">
      <c r="A106" s="12" t="s">
        <v>922</v>
      </c>
    </row>
    <row r="108" spans="1:5">
      <c r="A108" s="24" t="s">
        <v>923</v>
      </c>
    </row>
    <row r="109" spans="1:5">
      <c r="A109" t="s">
        <v>924</v>
      </c>
    </row>
    <row r="110" spans="1:5">
      <c r="A110" t="s">
        <v>925</v>
      </c>
    </row>
    <row r="112" spans="1:5">
      <c r="A112" t="s">
        <v>926</v>
      </c>
    </row>
    <row r="114" spans="1:4">
      <c r="A114" t="s">
        <v>927</v>
      </c>
    </row>
    <row r="117" ht="17.5" spans="1:4">
      <c r="A117" s="11" t="s">
        <v>928</v>
      </c>
    </row>
    <row r="119" spans="1:4">
      <c r="B119" t="s">
        <v>929</v>
      </c>
    </row>
    <row r="121" spans="1:4">
      <c r="B121" t="s">
        <v>930</v>
      </c>
      <c r="D121" s="14" t="s">
        <v>931</v>
      </c>
    </row>
    <row r="125" ht="17.5" spans="1:4">
      <c r="A125" s="11" t="s">
        <v>932</v>
      </c>
    </row>
    <row r="127" spans="1:4">
      <c r="A127" s="4" t="s">
        <v>933</v>
      </c>
    </row>
    <row r="128" spans="1:4">
      <c r="A128" t="s">
        <v>934</v>
      </c>
    </row>
    <row r="129" spans="1:3">
      <c r="A129" t="s">
        <v>935</v>
      </c>
    </row>
    <row r="131" spans="1:3">
      <c r="B131" s="18" t="s">
        <v>892</v>
      </c>
      <c r="C131" s="18" t="s">
        <v>894</v>
      </c>
    </row>
    <row r="132" ht="28" spans="1:3">
      <c r="B132" s="19" t="s">
        <v>895</v>
      </c>
      <c r="C132" s="20">
        <v>4278517.5</v>
      </c>
    </row>
    <row r="133" ht="28" spans="1:3">
      <c r="B133" s="19" t="s">
        <v>897</v>
      </c>
      <c r="C133" s="21">
        <v>5</v>
      </c>
    </row>
    <row r="134" ht="28" spans="1:3">
      <c r="B134" s="19" t="s">
        <v>899</v>
      </c>
      <c r="C134" s="21">
        <v>8100</v>
      </c>
    </row>
    <row r="135" ht="42" spans="1:3">
      <c r="B135" s="19" t="s">
        <v>901</v>
      </c>
      <c r="C135" s="22">
        <v>528.212037037037</v>
      </c>
    </row>
    <row r="136" ht="28" spans="1:3">
      <c r="B136" s="23" t="s">
        <v>903</v>
      </c>
      <c r="C136" s="19" t="s">
        <v>906</v>
      </c>
    </row>
    <row r="139" ht="17.5" spans="1:3">
      <c r="A139" s="11" t="s">
        <v>936</v>
      </c>
    </row>
    <row r="141" spans="1:3">
      <c r="A141" s="24" t="s">
        <v>937</v>
      </c>
    </row>
    <row r="143" spans="1:3">
      <c r="A143" t="s">
        <v>938</v>
      </c>
    </row>
    <row r="144" spans="1:3">
      <c r="A144" t="s">
        <v>939</v>
      </c>
    </row>
    <row r="145" spans="1:1">
      <c r="A145" t="s">
        <v>940</v>
      </c>
    </row>
    <row r="146" spans="1:1">
      <c r="A146" t="s">
        <v>941</v>
      </c>
    </row>
    <row r="147" spans="1:1">
      <c r="A147" t="s">
        <v>942</v>
      </c>
    </row>
    <row r="149" spans="1:1">
      <c r="A149" s="9" t="s">
        <v>943</v>
      </c>
    </row>
    <row r="150" spans="1:1">
      <c r="A150" t="s">
        <v>944</v>
      </c>
    </row>
    <row r="151" spans="1:1">
      <c r="A151" t="s">
        <v>945</v>
      </c>
    </row>
    <row r="152" spans="1:1">
      <c r="A152" t="s">
        <v>946</v>
      </c>
    </row>
    <row r="154" spans="1:1">
      <c r="A154" t="s">
        <v>947</v>
      </c>
    </row>
    <row r="155" spans="1:1">
      <c r="A155" t="s">
        <v>948</v>
      </c>
    </row>
    <row r="157" ht="17.5" spans="1:1">
      <c r="A157" s="25" t="s">
        <v>949</v>
      </c>
    </row>
    <row r="158" ht="17.5" spans="1:1">
      <c r="A158" s="12" t="s">
        <v>950</v>
      </c>
    </row>
    <row r="160" ht="17.5" spans="1:1">
      <c r="A160" s="11" t="s">
        <v>951</v>
      </c>
    </row>
    <row r="162" ht="17.5" spans="1:1">
      <c r="A162" s="12" t="s">
        <v>952</v>
      </c>
    </row>
    <row r="164" ht="17.5" spans="1:1">
      <c r="A164" s="12" t="s">
        <v>953</v>
      </c>
    </row>
    <row r="165" ht="17.5" spans="1:1">
      <c r="A165" s="12" t="s">
        <v>954</v>
      </c>
    </row>
    <row r="166" ht="17.5" spans="1:1">
      <c r="A166" s="12" t="s">
        <v>955</v>
      </c>
    </row>
  </sheetData>
  <mergeCells count="2">
    <mergeCell ref="B76:F76"/>
    <mergeCell ref="A93:E93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19"/>
  <sheetViews>
    <sheetView workbookViewId="0">
      <selection activeCell="B29" sqref="B29"/>
    </sheetView>
  </sheetViews>
  <sheetFormatPr defaultColWidth="8.72727272727273" defaultRowHeight="14" outlineLevelCol="2"/>
  <cols>
    <col min="1" max="1" width="8.72727272727273" style="2"/>
    <col min="2" max="2" width="25.8181818181818" style="2" customWidth="1"/>
    <col min="3" max="3" width="19" style="2" customWidth="1"/>
    <col min="4" max="16384" width="8.72727272727273" style="2"/>
  </cols>
  <sheetData>
    <row r="3" ht="25.5" spans="1:3">
      <c r="A3" s="3" t="s">
        <v>956</v>
      </c>
    </row>
    <row r="5" spans="1:3">
      <c r="B5" s="4" t="s">
        <v>956</v>
      </c>
      <c r="C5" s="5"/>
    </row>
    <row r="6" spans="1:3">
      <c r="B6" s="6" t="s">
        <v>892</v>
      </c>
      <c r="C6" s="6" t="s">
        <v>957</v>
      </c>
    </row>
    <row r="7" spans="1:3">
      <c r="B7" s="7" t="s">
        <v>958</v>
      </c>
      <c r="C7" s="6" t="s">
        <v>959</v>
      </c>
    </row>
    <row r="8" spans="1:3">
      <c r="B8" s="7" t="s">
        <v>960</v>
      </c>
      <c r="C8" s="6" t="s">
        <v>436</v>
      </c>
    </row>
    <row r="9" spans="1:3">
      <c r="B9" s="7" t="s">
        <v>961</v>
      </c>
      <c r="C9" s="6" t="s">
        <v>962</v>
      </c>
    </row>
    <row r="10" spans="1:3">
      <c r="B10" s="7" t="s">
        <v>963</v>
      </c>
      <c r="C10" s="6" t="s">
        <v>959</v>
      </c>
    </row>
    <row r="11" spans="1:3">
      <c r="B11" s="7" t="s">
        <v>964</v>
      </c>
      <c r="C11" s="8">
        <v>1</v>
      </c>
    </row>
    <row r="12" ht="42" spans="1:3">
      <c r="B12" s="7" t="s">
        <v>965</v>
      </c>
      <c r="C12" s="6" t="s">
        <v>966</v>
      </c>
    </row>
    <row r="13" ht="42" spans="1:3">
      <c r="B13" s="7" t="s">
        <v>967</v>
      </c>
      <c r="C13" s="6" t="s">
        <v>968</v>
      </c>
    </row>
    <row r="15" spans="1:3">
      <c r="B15" s="9" t="s">
        <v>969</v>
      </c>
    </row>
    <row r="16" spans="1:3">
      <c r="B16" s="4" t="s">
        <v>970</v>
      </c>
    </row>
    <row r="17" spans="2:2">
      <c r="B17" s="4" t="s">
        <v>971</v>
      </c>
    </row>
    <row r="19" s="1" customForma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财务主管统筹岗-1020行开始</vt:lpstr>
      <vt:lpstr>采购成本保障岗-656行开始</vt:lpstr>
      <vt:lpstr>应急预算绩效岗-57行开始</vt:lpstr>
      <vt:lpstr>资金核算风控岗-1行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zxw追梦者</dc:creator>
  <cp:lastModifiedBy>惊浪</cp:lastModifiedBy>
  <dcterms:created xsi:type="dcterms:W3CDTF">2023-05-12T11:15:00Z</dcterms:created>
  <dcterms:modified xsi:type="dcterms:W3CDTF">2026-08-13T19:29:12Z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C8B71B9A4DEF4B5D918C009CD7BD911D_12</vt:lpwstr>
  </property>
  <property fmtid="{D5CDD505-2E9C-101B-9397-08002B2CF9AE}" pid="4" name="CalculationRule">
    <vt:i4>0</vt:i4>
  </property>
</Properties>
</file>