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保险方案评分计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<sst xmlns="http://schemas.openxmlformats.org/spreadsheetml/2006/main" count="96" uniqueCount="67">
  <si>
    <t>洪涝救援人员保险方案综合评分计算表</t>
  </si>
  <si>
    <t>一、三家保险产品基础数据</t>
  </si>
  <si>
    <t>保险公司</t>
  </si>
  <si>
    <t>保费（元/人）</t>
  </si>
  <si>
    <t>意外身故保额（万元）</t>
  </si>
  <si>
    <t>意外伤残保额（万元）</t>
  </si>
  <si>
    <t>医疗保额（万元）</t>
  </si>
  <si>
    <t>免赔额（元）</t>
  </si>
  <si>
    <t>等待期（天）</t>
  </si>
  <si>
    <t>洪涝救援承保范围</t>
  </si>
  <si>
    <t>理赔资料要求</t>
  </si>
  <si>
    <t>赔付时效（天）</t>
  </si>
  <si>
    <t>承保范围分档</t>
  </si>
  <si>
    <t>标准分</t>
  </si>
  <si>
    <t>A保险公司</t>
  </si>
  <si>
    <t>一般条款包含洪涝救援</t>
  </si>
  <si>
    <t>常规资料</t>
  </si>
  <si>
    <t>B保险公司</t>
  </si>
  <si>
    <t>明确承保且无附加条件</t>
  </si>
  <si>
    <t>含出勤记录</t>
  </si>
  <si>
    <t>C保险公司</t>
  </si>
  <si>
    <t>需附补充协议</t>
  </si>
  <si>
    <t>资料要求较全</t>
  </si>
  <si>
    <t>二、评分指标与权重</t>
  </si>
  <si>
    <t>指标</t>
  </si>
  <si>
    <t>权重</t>
  </si>
  <si>
    <t>指标类型</t>
  </si>
  <si>
    <t>标准化规则</t>
  </si>
  <si>
    <t>保费</t>
  </si>
  <si>
    <t>成本型</t>
  </si>
  <si>
    <t>(最大值-本方案值)/(最大值-最小值)×100</t>
  </si>
  <si>
    <t>身故保额</t>
  </si>
  <si>
    <t>效益型</t>
  </si>
  <si>
    <t>(本方案值-最小值)/(最大值-最小值)×100</t>
  </si>
  <si>
    <t>伤残保额</t>
  </si>
  <si>
    <t>医疗保额</t>
  </si>
  <si>
    <t>免赔额</t>
  </si>
  <si>
    <t>等待期</t>
  </si>
  <si>
    <t>三方案相同则统一计100分</t>
  </si>
  <si>
    <t>承保范围</t>
  </si>
  <si>
    <t>分档赋值</t>
  </si>
  <si>
    <t>A=80，B=100，C=60</t>
  </si>
  <si>
    <t>赔付时效</t>
  </si>
  <si>
    <t>三、各指标标准分计算</t>
  </si>
  <si>
    <t>保费标准分</t>
  </si>
  <si>
    <t>身故保额标准分</t>
  </si>
  <si>
    <t>伤残保额标准分</t>
  </si>
  <si>
    <t>医疗保额标准分</t>
  </si>
  <si>
    <t>免赔额标准分</t>
  </si>
  <si>
    <t>等待期标准分</t>
  </si>
  <si>
    <t>承保范围标准分</t>
  </si>
  <si>
    <t>赔付时效标准分</t>
  </si>
  <si>
    <t>四、加权得分明细</t>
  </si>
  <si>
    <t>指标权重</t>
  </si>
  <si>
    <t>综合得分</t>
  </si>
  <si>
    <t>排名</t>
  </si>
  <si>
    <t>推荐</t>
  </si>
  <si>
    <t>身故</t>
  </si>
  <si>
    <t>伤残</t>
  </si>
  <si>
    <t>医疗</t>
  </si>
  <si>
    <t>备选</t>
  </si>
  <si>
    <t>五、人均保费、总保费及预算影响</t>
  </si>
  <si>
    <t>项目</t>
  </si>
  <si>
    <t>差额</t>
  </si>
  <si>
    <t>人均保费（元/人）</t>
  </si>
  <si>
    <t>救援人数（人）</t>
  </si>
  <si>
    <t>总保费（元）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</si>
</sst>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\-0.00;\-"/>
    <numFmt numFmtId="177" formatCode="#,##0.00;[Red]\(#,##0.00\);\-"/>
  </numFmts>
  <fonts count="28">
    <font>
      <sz val="11"/>
      <name val="Carlito"/>
      <charset val="134"/>
    </font>
    <font>
      <b/>
      <sz val="16"/>
      <color rgb="FFFFFFFF"/>
      <name val="宋体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17365D"/>
      <name val="Carlito"/>
      <charset val="134"/>
    </font>
    <font>
      <sz val="11"/>
      <color rgb="FF0000FF"/>
      <name val="Carlito"/>
      <charset val="134"/>
    </font>
    <font>
      <b/>
      <sz val="11"/>
      <color rgb="FF17365D"/>
      <name val="宋体"/>
      <charset val="134"/>
    </font>
    <font>
      <sz val="11"/>
      <color rgb="FF00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23A5A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3" tint="0.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49"/>
    <xf numFmtId="0" fontId="0" fillId="0" borderId="0" xfId="49" applyFill="1"/>
    <xf numFmtId="0" fontId="1" fillId="2" borderId="0" xfId="49" applyNumberFormat="1" applyFont="1" applyFill="1" applyBorder="1" applyAlignment="1">
      <alignment horizontal="center" vertical="center" wrapText="1"/>
    </xf>
    <xf numFmtId="0" fontId="2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3" fillId="3" borderId="0" xfId="49" applyNumberFormat="1" applyFont="1" applyFill="1" applyBorder="1" applyAlignment="1">
      <alignment horizontal="left" vertical="center" wrapText="1"/>
    </xf>
    <xf numFmtId="0" fontId="4" fillId="4" borderId="0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horizontal="center" vertical="center" wrapText="1"/>
    </xf>
    <xf numFmtId="0" fontId="6" fillId="4" borderId="0" xfId="49" applyNumberFormat="1" applyFont="1" applyFill="1" applyBorder="1" applyAlignment="1">
      <alignment horizontal="center" vertical="center" wrapText="1"/>
    </xf>
    <xf numFmtId="9" fontId="5" fillId="0" borderId="0" xfId="3" applyFont="1" applyFill="1" applyBorder="1" applyAlignment="1">
      <alignment horizontal="center" vertical="center" wrapText="1"/>
    </xf>
    <xf numFmtId="0" fontId="3" fillId="3" borderId="0" xfId="49" applyNumberFormat="1" applyFont="1" applyFill="1" applyBorder="1" applyAlignment="1">
      <alignment vertical="center" wrapText="1"/>
    </xf>
    <xf numFmtId="0" fontId="4" fillId="4" borderId="1" xfId="49" applyNumberFormat="1" applyFont="1" applyFill="1" applyBorder="1" applyAlignment="1">
      <alignment horizontal="center" vertical="center" wrapText="1"/>
    </xf>
    <xf numFmtId="0" fontId="7" fillId="0" borderId="1" xfId="49" applyNumberFormat="1" applyFont="1" applyFill="1" applyBorder="1" applyAlignment="1">
      <alignment horizontal="center" vertical="center" wrapText="1"/>
    </xf>
    <xf numFmtId="176" fontId="7" fillId="5" borderId="1" xfId="49" applyNumberFormat="1" applyFont="1" applyFill="1" applyBorder="1" applyAlignment="1">
      <alignment horizontal="center" vertical="center" wrapText="1"/>
    </xf>
    <xf numFmtId="0" fontId="3" fillId="3" borderId="0" xfId="49" applyNumberFormat="1" applyFont="1" applyFill="1" applyAlignment="1">
      <alignment horizontal="left" vertical="center" wrapText="1"/>
    </xf>
    <xf numFmtId="9" fontId="4" fillId="4" borderId="1" xfId="3" applyFont="1" applyFill="1" applyBorder="1" applyAlignment="1">
      <alignment horizontal="center" vertical="center" wrapText="1"/>
    </xf>
    <xf numFmtId="0" fontId="4" fillId="4" borderId="1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176" fontId="7" fillId="0" borderId="1" xfId="49" applyNumberFormat="1" applyFont="1" applyFill="1" applyBorder="1" applyAlignment="1">
      <alignment horizontal="center" vertical="center" wrapText="1"/>
    </xf>
    <xf numFmtId="1" fontId="7" fillId="5" borderId="1" xfId="49" applyNumberFormat="1" applyFont="1" applyFill="1" applyBorder="1" applyAlignment="1">
      <alignment horizontal="center" vertical="center" wrapText="1"/>
    </xf>
    <xf numFmtId="0" fontId="7" fillId="5" borderId="1" xfId="49" applyNumberFormat="1" applyFont="1" applyFill="1" applyBorder="1" applyAlignment="1">
      <alignment horizontal="center" vertical="center" wrapText="1"/>
    </xf>
    <xf numFmtId="1" fontId="0" fillId="5" borderId="1" xfId="49" applyNumberFormat="1" applyFont="1" applyFill="1" applyBorder="1" applyAlignment="1">
      <alignment horizontal="center" vertical="center" wrapText="1"/>
    </xf>
    <xf numFmtId="0" fontId="3" fillId="3" borderId="0" xfId="49" applyNumberFormat="1" applyFont="1" applyFill="1" applyBorder="1" applyAlignment="1">
      <alignment vertical="center"/>
    </xf>
    <xf numFmtId="177" fontId="7" fillId="0" borderId="1" xfId="49" applyNumberFormat="1" applyFont="1" applyFill="1" applyBorder="1" applyAlignment="1">
      <alignment horizontal="center" vertical="center" wrapText="1"/>
    </xf>
    <xf numFmtId="177" fontId="7" fillId="5" borderId="1" xfId="49" applyNumberFormat="1" applyFont="1" applyFill="1" applyBorder="1" applyAlignment="1">
      <alignment horizontal="center" vertical="center" wrapText="1"/>
    </xf>
    <xf numFmtId="1" fontId="5" fillId="0" borderId="1" xfId="49" applyNumberFormat="1" applyFont="1" applyFill="1" applyBorder="1" applyAlignment="1">
      <alignment horizontal="center" vertical="center" wrapText="1"/>
    </xf>
    <xf numFmtId="0" fontId="8" fillId="0" borderId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2E6B2E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1" workbookViewId="0">
      <selection activeCell="G13" sqref="G13"/>
    </sheetView>
  </sheetViews>
  <sheetFormatPr defaultColWidth="9" defaultRowHeight="14.25"/>
  <cols>
    <col min="1" max="1" width="21" customWidth="1"/>
    <col min="2" max="2" width="15" customWidth="1"/>
    <col min="3" max="5" width="17" customWidth="1"/>
    <col min="6" max="7" width="14" customWidth="1"/>
    <col min="8" max="8" width="25" customWidth="1"/>
    <col min="9" max="9" width="18" customWidth="1"/>
    <col min="10" max="10" width="15" customWidth="1"/>
    <col min="11" max="11" width="10" customWidth="1"/>
    <col min="12" max="12" width="28" customWidth="1"/>
    <col min="13" max="13" width="12" customWidth="1"/>
  </cols>
  <sheetData>
    <row r="1" ht="32" customHeight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</row>
    <row r="2" spans="1:1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15" spans="1:13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4"/>
      <c r="L3" s="4"/>
      <c r="M3" s="4"/>
    </row>
    <row r="4" ht="34" customHeight="1" spans="1:13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4"/>
      <c r="L4" s="6" t="s">
        <v>12</v>
      </c>
      <c r="M4" s="6" t="s">
        <v>13</v>
      </c>
    </row>
    <row r="5" ht="34" customHeight="1" spans="1:13">
      <c r="A5" s="7" t="s">
        <v>14</v>
      </c>
      <c r="B5" s="7">
        <v>200</v>
      </c>
      <c r="C5" s="7">
        <v>50</v>
      </c>
      <c r="D5" s="7">
        <v>30</v>
      </c>
      <c r="E5" s="7">
        <v>2</v>
      </c>
      <c r="F5" s="7">
        <v>200</v>
      </c>
      <c r="G5" s="7">
        <v>0</v>
      </c>
      <c r="H5" s="7" t="s">
        <v>15</v>
      </c>
      <c r="I5" s="7" t="s">
        <v>16</v>
      </c>
      <c r="J5" s="7">
        <v>15</v>
      </c>
      <c r="K5" s="4"/>
      <c r="L5" s="7" t="s">
        <v>15</v>
      </c>
      <c r="M5" s="7">
        <v>80</v>
      </c>
    </row>
    <row r="6" ht="34" customHeight="1" spans="1:13">
      <c r="A6" s="7" t="s">
        <v>17</v>
      </c>
      <c r="B6" s="7">
        <v>220</v>
      </c>
      <c r="C6" s="7">
        <v>100</v>
      </c>
      <c r="D6" s="7">
        <v>60</v>
      </c>
      <c r="E6" s="7">
        <v>5</v>
      </c>
      <c r="F6" s="7">
        <v>100</v>
      </c>
      <c r="G6" s="7">
        <v>0</v>
      </c>
      <c r="H6" s="7" t="s">
        <v>18</v>
      </c>
      <c r="I6" s="7" t="s">
        <v>19</v>
      </c>
      <c r="J6" s="7">
        <v>7</v>
      </c>
      <c r="K6" s="4"/>
      <c r="L6" s="7" t="s">
        <v>18</v>
      </c>
      <c r="M6" s="7">
        <v>100</v>
      </c>
    </row>
    <row r="7" ht="34" customHeight="1" spans="1:13">
      <c r="A7" s="7" t="s">
        <v>20</v>
      </c>
      <c r="B7" s="7">
        <v>280</v>
      </c>
      <c r="C7" s="7">
        <v>120</v>
      </c>
      <c r="D7" s="7">
        <v>80</v>
      </c>
      <c r="E7" s="7">
        <v>8</v>
      </c>
      <c r="F7" s="7">
        <v>150</v>
      </c>
      <c r="G7" s="7">
        <v>0</v>
      </c>
      <c r="H7" s="7" t="s">
        <v>21</v>
      </c>
      <c r="I7" s="7" t="s">
        <v>22</v>
      </c>
      <c r="J7" s="7">
        <v>10</v>
      </c>
      <c r="K7" s="4"/>
      <c r="L7" s="7" t="s">
        <v>21</v>
      </c>
      <c r="M7" s="7">
        <v>60</v>
      </c>
    </row>
    <row r="8" ht="24" customHeight="1" spans="1:1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ht="24" customHeight="1" spans="1:13">
      <c r="A9" s="5" t="s">
        <v>23</v>
      </c>
      <c r="B9" s="5"/>
      <c r="C9" s="5"/>
      <c r="D9" s="5"/>
      <c r="E9" s="4"/>
      <c r="F9" s="4"/>
      <c r="G9" s="4"/>
      <c r="H9" s="4"/>
      <c r="I9" s="4"/>
      <c r="J9" s="4"/>
      <c r="K9" s="4"/>
      <c r="L9" s="4"/>
      <c r="M9" s="4"/>
    </row>
    <row r="10" ht="30" customHeight="1" spans="1:13">
      <c r="A10" s="8" t="s">
        <v>24</v>
      </c>
      <c r="B10" s="6" t="s">
        <v>25</v>
      </c>
      <c r="C10" s="6" t="s">
        <v>26</v>
      </c>
      <c r="D10" s="6" t="s">
        <v>27</v>
      </c>
      <c r="E10" s="4"/>
      <c r="F10" s="4"/>
      <c r="G10" s="4"/>
      <c r="H10" s="4"/>
      <c r="I10" s="4"/>
      <c r="J10" s="4"/>
      <c r="K10" s="4"/>
      <c r="L10" s="4"/>
      <c r="M10" s="4"/>
    </row>
    <row r="11" ht="30" customHeight="1" spans="1:13">
      <c r="A11" s="7" t="s">
        <v>28</v>
      </c>
      <c r="B11" s="9">
        <v>0.2</v>
      </c>
      <c r="C11" s="7" t="s">
        <v>29</v>
      </c>
      <c r="D11" s="7" t="s">
        <v>30</v>
      </c>
      <c r="E11" s="4"/>
      <c r="F11" s="4"/>
      <c r="G11" s="4"/>
      <c r="H11" s="4"/>
      <c r="I11" s="4"/>
      <c r="J11" s="4"/>
      <c r="K11" s="4"/>
      <c r="L11" s="4"/>
      <c r="M11" s="4"/>
    </row>
    <row r="12" ht="30" customHeight="1" spans="1:13">
      <c r="A12" s="7" t="s">
        <v>31</v>
      </c>
      <c r="B12" s="9">
        <v>0.2</v>
      </c>
      <c r="C12" s="7" t="s">
        <v>32</v>
      </c>
      <c r="D12" s="7" t="s">
        <v>33</v>
      </c>
      <c r="E12" s="4"/>
      <c r="F12" s="4"/>
      <c r="G12" s="4"/>
      <c r="H12" s="4"/>
      <c r="I12" s="4"/>
      <c r="J12" s="4"/>
      <c r="K12" s="4"/>
      <c r="L12" s="4"/>
      <c r="M12" s="4"/>
    </row>
    <row r="13" ht="30" customHeight="1" spans="1:13">
      <c r="A13" s="7" t="s">
        <v>34</v>
      </c>
      <c r="B13" s="9">
        <v>0.1</v>
      </c>
      <c r="C13" s="7" t="s">
        <v>32</v>
      </c>
      <c r="D13" s="7" t="s">
        <v>33</v>
      </c>
      <c r="E13" s="4"/>
      <c r="F13" s="4"/>
      <c r="G13" s="4"/>
      <c r="H13" s="4"/>
      <c r="I13" s="4"/>
      <c r="J13" s="4"/>
      <c r="K13" s="4"/>
      <c r="L13" s="4"/>
      <c r="M13" s="4"/>
    </row>
    <row r="14" ht="30" customHeight="1" spans="1:13">
      <c r="A14" s="7" t="s">
        <v>35</v>
      </c>
      <c r="B14" s="9">
        <v>0.15</v>
      </c>
      <c r="C14" s="7" t="s">
        <v>32</v>
      </c>
      <c r="D14" s="7" t="s">
        <v>33</v>
      </c>
      <c r="E14" s="4"/>
      <c r="F14" s="4"/>
      <c r="G14" s="4"/>
      <c r="H14" s="4"/>
      <c r="I14" s="4"/>
      <c r="J14" s="4"/>
      <c r="K14" s="4"/>
      <c r="L14" s="4"/>
      <c r="M14" s="4"/>
    </row>
    <row r="15" ht="30" customHeight="1" spans="1:13">
      <c r="A15" s="7" t="s">
        <v>36</v>
      </c>
      <c r="B15" s="9">
        <v>0.1</v>
      </c>
      <c r="C15" s="7" t="s">
        <v>29</v>
      </c>
      <c r="D15" s="7" t="s">
        <v>30</v>
      </c>
      <c r="E15" s="4"/>
      <c r="F15" s="4"/>
      <c r="G15" s="4"/>
      <c r="H15" s="4"/>
      <c r="I15" s="4"/>
      <c r="J15" s="4"/>
      <c r="K15" s="4"/>
      <c r="L15" s="4"/>
      <c r="M15" s="4"/>
    </row>
    <row r="16" ht="30" customHeight="1" spans="1:13">
      <c r="A16" s="7" t="s">
        <v>37</v>
      </c>
      <c r="B16" s="9">
        <v>0.1</v>
      </c>
      <c r="C16" s="7" t="s">
        <v>29</v>
      </c>
      <c r="D16" s="7" t="s">
        <v>38</v>
      </c>
      <c r="E16" s="4"/>
      <c r="F16" s="4"/>
      <c r="G16" s="4"/>
      <c r="H16" s="4"/>
      <c r="I16" s="4"/>
      <c r="J16" s="4"/>
      <c r="K16" s="4"/>
      <c r="L16" s="4"/>
      <c r="M16" s="4"/>
    </row>
    <row r="17" ht="30" customHeight="1" spans="1:13">
      <c r="A17" s="7" t="s">
        <v>39</v>
      </c>
      <c r="B17" s="9">
        <v>0.1</v>
      </c>
      <c r="C17" s="7" t="s">
        <v>40</v>
      </c>
      <c r="D17" s="7" t="s">
        <v>41</v>
      </c>
      <c r="E17" s="4"/>
      <c r="F17" s="4"/>
      <c r="G17" s="4"/>
      <c r="H17" s="4"/>
      <c r="I17" s="4"/>
      <c r="J17" s="4"/>
      <c r="K17" s="4"/>
      <c r="L17" s="4"/>
      <c r="M17" s="4"/>
    </row>
    <row r="18" ht="30" customHeight="1" spans="1:13">
      <c r="A18" s="7" t="s">
        <v>42</v>
      </c>
      <c r="B18" s="9">
        <v>0.05</v>
      </c>
      <c r="C18" s="7" t="s">
        <v>29</v>
      </c>
      <c r="D18" s="7" t="s">
        <v>30</v>
      </c>
      <c r="E18" s="4"/>
      <c r="F18" s="4"/>
      <c r="G18" s="4"/>
      <c r="H18" s="4"/>
      <c r="I18" s="4"/>
      <c r="J18" s="4"/>
      <c r="K18" s="4"/>
      <c r="L18" s="4"/>
      <c r="M18" s="4"/>
    </row>
    <row r="19" ht="24" customHeight="1" spans="1:1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ht="24" customHeight="1" spans="1:13">
      <c r="A20" s="10" t="s">
        <v>43</v>
      </c>
      <c r="B20" s="10"/>
      <c r="C20" s="10"/>
      <c r="D20" s="10"/>
      <c r="E20" s="10"/>
      <c r="F20" s="10"/>
      <c r="G20" s="10"/>
      <c r="H20" s="10"/>
      <c r="I20" s="10"/>
      <c r="J20" s="4"/>
      <c r="K20" s="4"/>
      <c r="L20" s="4"/>
      <c r="M20" s="4"/>
    </row>
    <row r="21" ht="28" customHeight="1" spans="1:13">
      <c r="A21" s="11" t="s">
        <v>2</v>
      </c>
      <c r="B21" s="11" t="s">
        <v>44</v>
      </c>
      <c r="C21" s="11" t="s">
        <v>45</v>
      </c>
      <c r="D21" s="11" t="s">
        <v>46</v>
      </c>
      <c r="E21" s="11" t="s">
        <v>47</v>
      </c>
      <c r="F21" s="11" t="s">
        <v>48</v>
      </c>
      <c r="G21" s="11" t="s">
        <v>49</v>
      </c>
      <c r="H21" s="11" t="s">
        <v>50</v>
      </c>
      <c r="I21" s="11" t="s">
        <v>51</v>
      </c>
      <c r="J21" s="4"/>
      <c r="K21" s="4"/>
      <c r="L21" s="4"/>
      <c r="M21" s="4"/>
    </row>
    <row r="22" ht="28" customHeight="1" spans="1:13">
      <c r="A22" s="12" t="s">
        <v>14</v>
      </c>
      <c r="B22" s="13">
        <f>IF(MAX($B$5:$B$7)=MIN($B$5:$B$7),100,(MAX($B$5:$B$7)-B5)/(MAX($B$5:$B$7)-MIN($B$5:$B$7))*100)</f>
        <v>100</v>
      </c>
      <c r="C22" s="13">
        <f>IF(MAX($C$5:$C$7)=MIN($C$5:$C$7),100,(C5-MIN($C$5:$C$7))/(MAX($C$5:$C$7)-MIN($C$5:$C$7))*100)</f>
        <v>0</v>
      </c>
      <c r="D22" s="13">
        <f>IF(MAX($D$5:$D$7)=MIN($D$5:$D$7),100,(D5-MIN($D$5:$D$7))/(MAX($D$5:$D$7)-MIN($D$5:$D$7))*100)</f>
        <v>0</v>
      </c>
      <c r="E22" s="13">
        <f>IF(MAX($E$5:$E$7)=MIN($E$5:$E$7),100,(E5-MIN($E$5:$E$7))/(MAX($E$5:$E$7)-MIN($E$5:$E$7))*100)</f>
        <v>0</v>
      </c>
      <c r="F22" s="13">
        <f>IF(MAX($F$5:$F$7)=MIN($F$5:$F$7),100,(MAX($F$5:$F$7)-F5)/(MAX($F$5:$F$7)-MIN($F$5:$F$7))*100)</f>
        <v>0</v>
      </c>
      <c r="G22" s="13">
        <f>IF(MAX($G$5:$G$7)=MIN($G$5:$G$7),100,(MAX($G$5:$G$7)-G5)/(MAX($G$5:$G$7)-MIN($G$5:$G$7))*100)</f>
        <v>100</v>
      </c>
      <c r="H22" s="13">
        <f>_xlfn.XLOOKUP(H5,$L$5:$L$7,$M$5:$M$7)</f>
        <v>80</v>
      </c>
      <c r="I22" s="13">
        <f>IF(MAX($J$5:$J$7)=MIN($J$5:$J$7),100,(MAX($J$5:$J$7)-J5)/(MAX($J$5:$J$7)-MIN($J$5:$J$7))*100)</f>
        <v>0</v>
      </c>
      <c r="M22" s="4"/>
    </row>
    <row r="23" ht="28" customHeight="1" spans="1:13">
      <c r="A23" s="12" t="s">
        <v>17</v>
      </c>
      <c r="B23" s="13">
        <f>IF(MAX($B$5:$B$7)=MIN($B$5:$B$7),100,(MAX($B$5:$B$7)-B6)/(MAX($B$5:$B$7)-MIN($B$5:$B$7))*100)</f>
        <v>75</v>
      </c>
      <c r="C23" s="13">
        <f>IF(MAX($C$5:$C$7)=MIN($C$5:$C$7),100,(C6-MIN($C$5:$C$7))/(MAX($C$5:$C$7)-MIN($C$5:$C$7))*100)</f>
        <v>71.4285714285714</v>
      </c>
      <c r="D23" s="13">
        <f>IF(MAX($D$5:$D$7)=MIN($D$5:$D$7),100,(D6-MIN($D$5:$D$7))/(MAX($D$5:$D$7)-MIN($D$5:$D$7))*100)</f>
        <v>60</v>
      </c>
      <c r="E23" s="13">
        <f>IF(MAX($E$5:$E$7)=MIN($E$5:$E$7),100,(E6-MIN($E$5:$E$7))/(MAX($E$5:$E$7)-MIN($E$5:$E$7))*100)</f>
        <v>50</v>
      </c>
      <c r="F23" s="13">
        <f>IF(MAX($F$5:$F$7)=MIN($F$5:$F$7),100,(MAX($F$5:$F$7)-F6)/(MAX($F$5:$F$7)-MIN($F$5:$F$7))*100)</f>
        <v>100</v>
      </c>
      <c r="G23" s="13">
        <f>IF(MAX($G$5:$G$7)=MIN($G$5:$G$7),100,(MAX($G$5:$G$7)-G6)/(MAX($G$5:$G$7)-MIN($G$5:$G$7))*100)</f>
        <v>100</v>
      </c>
      <c r="H23" s="13">
        <f>_xlfn.XLOOKUP(H6,$L$5:$L$7,$M$5:$M$7)</f>
        <v>100</v>
      </c>
      <c r="I23" s="13">
        <f>IF(MAX($J$5:$J$7)=MIN($J$5:$J$7),100,(MAX($J$5:$J$7)-J6)/(MAX($J$5:$J$7)-MIN($J$5:$J$7))*100)</f>
        <v>100</v>
      </c>
      <c r="M23" s="4"/>
    </row>
    <row r="24" ht="28" customHeight="1" spans="1:13">
      <c r="A24" s="12" t="s">
        <v>20</v>
      </c>
      <c r="B24" s="13">
        <f>IF(MAX($B$5:$B$7)=MIN($B$5:$B$7),100,(MAX($B$5:$B$7)-B7)/(MAX($B$5:$B$7)-MIN($B$5:$B$7))*100)</f>
        <v>0</v>
      </c>
      <c r="C24" s="13">
        <f>IF(MAX($C$5:$C$7)=MIN($C$5:$C$7),100,(C7-MIN($C$5:$C$7))/(MAX($C$5:$C$7)-MIN($C$5:$C$7))*100)</f>
        <v>100</v>
      </c>
      <c r="D24" s="13">
        <f>IF(MAX($D$5:$D$7)=MIN($D$5:$D$7),100,(D7-MIN($D$5:$D$7))/(MAX($D$5:$D$7)-MIN($D$5:$D$7))*100)</f>
        <v>100</v>
      </c>
      <c r="E24" s="13">
        <f>IF(MAX($E$5:$E$7)=MIN($E$5:$E$7),100,(E7-MIN($E$5:$E$7))/(MAX($E$5:$E$7)-MIN($E$5:$E$7))*100)</f>
        <v>100</v>
      </c>
      <c r="F24" s="13">
        <f>IF(MAX($F$5:$F$7)=MIN($F$5:$F$7),100,(MAX($F$5:$F$7)-F7)/(MAX($F$5:$F$7)-MIN($F$5:$F$7))*100)</f>
        <v>50</v>
      </c>
      <c r="G24" s="13">
        <f>IF(MAX($G$5:$G$7)=MIN($G$5:$G$7),100,(MAX($G$5:$G$7)-G7)/(MAX($G$5:$G$7)-MIN($G$5:$G$7))*100)</f>
        <v>100</v>
      </c>
      <c r="H24" s="13">
        <f>_xlfn.XLOOKUP(H7,$L$5:$L$7,$M$5:$M$7)</f>
        <v>60</v>
      </c>
      <c r="I24" s="13">
        <f>IF(MAX($J$5:$J$7)=MIN($J$5:$J$7),100,(MAX($J$5:$J$7)-J7)/(MAX($J$5:$J$7)-MIN($J$5:$J$7))*100)</f>
        <v>62.5</v>
      </c>
      <c r="M24" s="4"/>
    </row>
    <row r="25" ht="24" customHeight="1" spans="1:1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24" customHeight="1" spans="1:13">
      <c r="A26" s="14" t="s">
        <v>52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4"/>
    </row>
    <row r="27" s="1" customFormat="1" ht="24" customHeight="1" spans="1:13">
      <c r="A27" s="11" t="s">
        <v>53</v>
      </c>
      <c r="B27" s="15">
        <v>0.2</v>
      </c>
      <c r="C27" s="15">
        <v>0.2</v>
      </c>
      <c r="D27" s="15">
        <v>0.1</v>
      </c>
      <c r="E27" s="15">
        <v>0.15</v>
      </c>
      <c r="F27" s="15">
        <v>0.1</v>
      </c>
      <c r="G27" s="15">
        <v>0.1</v>
      </c>
      <c r="H27" s="15">
        <v>0.1</v>
      </c>
      <c r="I27" s="15">
        <v>0.05</v>
      </c>
      <c r="J27" s="16" t="s">
        <v>54</v>
      </c>
      <c r="K27" s="16" t="s">
        <v>55</v>
      </c>
      <c r="L27" s="16" t="s">
        <v>56</v>
      </c>
      <c r="M27" s="17"/>
    </row>
    <row r="28" ht="24" customHeight="1" spans="1:13">
      <c r="A28" s="11" t="s">
        <v>2</v>
      </c>
      <c r="B28" s="11" t="s">
        <v>28</v>
      </c>
      <c r="C28" s="11" t="s">
        <v>57</v>
      </c>
      <c r="D28" s="11" t="s">
        <v>58</v>
      </c>
      <c r="E28" s="11" t="s">
        <v>59</v>
      </c>
      <c r="F28" s="11" t="s">
        <v>36</v>
      </c>
      <c r="G28" s="11" t="s">
        <v>37</v>
      </c>
      <c r="H28" s="11" t="s">
        <v>39</v>
      </c>
      <c r="I28" s="11" t="s">
        <v>42</v>
      </c>
      <c r="J28" s="16"/>
      <c r="K28" s="16"/>
      <c r="L28" s="16"/>
      <c r="M28" s="4"/>
    </row>
    <row r="29" ht="24" customHeight="1" spans="1:13">
      <c r="A29" s="12" t="s">
        <v>14</v>
      </c>
      <c r="B29" s="13">
        <f>B22*$B$27</f>
        <v>20</v>
      </c>
      <c r="C29" s="13">
        <f>C22*$C$27</f>
        <v>0</v>
      </c>
      <c r="D29" s="13">
        <f>D22*$D$27</f>
        <v>0</v>
      </c>
      <c r="E29" s="13">
        <f>E22*$E$27</f>
        <v>0</v>
      </c>
      <c r="F29" s="13">
        <f>F22*$F$27</f>
        <v>0</v>
      </c>
      <c r="G29" s="13">
        <f>G22*$G$27</f>
        <v>10</v>
      </c>
      <c r="H29" s="13">
        <f>H22*$H$27</f>
        <v>8</v>
      </c>
      <c r="I29" s="13">
        <f>I22*$I$27</f>
        <v>0</v>
      </c>
      <c r="J29" s="18">
        <f>SUM(B29:I29)</f>
        <v>38</v>
      </c>
      <c r="K29" s="19">
        <v>2</v>
      </c>
      <c r="L29" s="20" t="s">
        <v>60</v>
      </c>
      <c r="M29" s="4"/>
    </row>
    <row r="30" ht="24" customHeight="1" spans="1:13">
      <c r="A30" s="12" t="s">
        <v>17</v>
      </c>
      <c r="B30" s="13">
        <f>B23*$B$27</f>
        <v>15</v>
      </c>
      <c r="C30" s="13">
        <f>C23*$C$27</f>
        <v>14.2857142857143</v>
      </c>
      <c r="D30" s="13">
        <f>D23*$D$27</f>
        <v>6</v>
      </c>
      <c r="E30" s="13">
        <f>E23*$E$27</f>
        <v>7.5</v>
      </c>
      <c r="F30" s="13">
        <f>F23*$F$27</f>
        <v>10</v>
      </c>
      <c r="G30" s="13">
        <f>G23*$G$27</f>
        <v>10</v>
      </c>
      <c r="H30" s="13">
        <f>H23*$H$27</f>
        <v>10</v>
      </c>
      <c r="I30" s="13">
        <f>I23*$I$27</f>
        <v>5</v>
      </c>
      <c r="J30" s="18">
        <f>SUM(B30:I30)</f>
        <v>77.7857142857143</v>
      </c>
      <c r="K30" s="21">
        <v>1</v>
      </c>
      <c r="L30" s="20" t="s">
        <v>56</v>
      </c>
      <c r="M30" s="4"/>
    </row>
    <row r="31" ht="24" customHeight="1" spans="1:13">
      <c r="A31" s="12" t="s">
        <v>20</v>
      </c>
      <c r="B31" s="13">
        <f>B24*$B$27</f>
        <v>0</v>
      </c>
      <c r="C31" s="13">
        <f>C24*$C$27</f>
        <v>20</v>
      </c>
      <c r="D31" s="13">
        <f>D24*$D$27</f>
        <v>10</v>
      </c>
      <c r="E31" s="13">
        <f>E24*$E$27</f>
        <v>15</v>
      </c>
      <c r="F31" s="13">
        <f>F24*$F$27</f>
        <v>5</v>
      </c>
      <c r="G31" s="13">
        <f>G24*$G$27</f>
        <v>10</v>
      </c>
      <c r="H31" s="13">
        <f>H24*$H$27</f>
        <v>6</v>
      </c>
      <c r="I31" s="13">
        <f>I24*$I$27</f>
        <v>3.125</v>
      </c>
      <c r="J31" s="18">
        <f>SUM(B31:I31)</f>
        <v>69.125</v>
      </c>
      <c r="K31" s="19">
        <v>2</v>
      </c>
      <c r="L31" s="20" t="s">
        <v>60</v>
      </c>
      <c r="M31" s="4"/>
    </row>
    <row r="32" ht="24" customHeight="1" spans="1:1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24" customHeight="1" spans="1:13">
      <c r="A33" s="22" t="s">
        <v>61</v>
      </c>
      <c r="B33" s="22"/>
      <c r="C33" s="22"/>
      <c r="D33" s="22"/>
      <c r="E33" s="4"/>
      <c r="F33" s="4"/>
      <c r="G33" s="4"/>
      <c r="H33" s="4"/>
      <c r="I33" s="4"/>
      <c r="J33" s="4"/>
      <c r="K33" s="4"/>
      <c r="L33" s="4"/>
      <c r="M33" s="4"/>
    </row>
    <row r="34" ht="24" customHeight="1" spans="1:13">
      <c r="A34" s="11" t="s">
        <v>62</v>
      </c>
      <c r="B34" s="11" t="s">
        <v>17</v>
      </c>
      <c r="C34" s="11" t="s">
        <v>20</v>
      </c>
      <c r="D34" s="11" t="s">
        <v>63</v>
      </c>
      <c r="E34" s="4"/>
      <c r="F34" s="4"/>
      <c r="G34" s="4"/>
      <c r="H34" s="4"/>
      <c r="I34" s="4"/>
      <c r="J34" s="4"/>
      <c r="K34" s="4"/>
      <c r="L34" s="4"/>
      <c r="M34" s="4"/>
    </row>
    <row r="35" ht="24" customHeight="1" spans="1:13">
      <c r="A35" s="12" t="s">
        <v>64</v>
      </c>
      <c r="B35" s="23">
        <f>$B$6</f>
        <v>220</v>
      </c>
      <c r="C35" s="23">
        <f>$B$7</f>
        <v>280</v>
      </c>
      <c r="D35" s="24">
        <f>C35-B35</f>
        <v>60</v>
      </c>
      <c r="E35" s="4"/>
      <c r="F35" s="4"/>
      <c r="G35" s="4"/>
      <c r="H35" s="4"/>
      <c r="I35" s="4"/>
      <c r="J35" s="4"/>
      <c r="K35" s="4"/>
      <c r="L35" s="4"/>
      <c r="M35" s="4"/>
    </row>
    <row r="36" ht="24" customHeight="1" spans="1:13">
      <c r="A36" s="12" t="s">
        <v>65</v>
      </c>
      <c r="B36" s="25">
        <v>50</v>
      </c>
      <c r="C36" s="25">
        <v>50</v>
      </c>
      <c r="D36" s="24">
        <v>0</v>
      </c>
      <c r="E36" s="4"/>
      <c r="F36" s="4"/>
      <c r="G36" s="4"/>
      <c r="H36" s="4"/>
      <c r="I36" s="4"/>
      <c r="J36" s="4"/>
      <c r="K36" s="4"/>
      <c r="L36" s="4"/>
      <c r="M36" s="4"/>
    </row>
    <row r="37" ht="24" customHeight="1" spans="1:13">
      <c r="A37" s="12" t="s">
        <v>66</v>
      </c>
      <c r="B37" s="23">
        <f>B35*B36</f>
        <v>11000</v>
      </c>
      <c r="C37" s="23">
        <f>C35*C36</f>
        <v>14000</v>
      </c>
      <c r="D37" s="24">
        <f>C37-B37</f>
        <v>3000</v>
      </c>
      <c r="E37" s="4"/>
      <c r="F37" s="4"/>
      <c r="G37" s="4"/>
      <c r="H37" s="4"/>
      <c r="I37" s="4"/>
      <c r="J37" s="4"/>
      <c r="K37" s="4"/>
      <c r="L37" s="4"/>
      <c r="M37" s="4"/>
    </row>
    <row r="38" ht="24" customHeight="1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24" customHeight="1" spans="1:13">
      <c r="A39" s="26"/>
      <c r="B39" s="26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24" customHeight="1" spans="1:13">
      <c r="A40" s="26"/>
      <c r="B40" s="26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24" customHeight="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24" customHeight="1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ht="24" customHeight="1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24" customHeight="1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ht="24" customHeight="1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24" customHeight="1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ht="24" customHeight="1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ht="24" customHeight="1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4"/>
      <c r="D50" s="4"/>
      <c r="E50" s="4"/>
      <c r="F50" s="4"/>
      <c r="G50" s="4"/>
      <c r="H50" s="4"/>
      <c r="I50" s="4"/>
      <c r="J50" s="4"/>
    </row>
  </sheetData>
  <mergeCells count="7">
    <mergeCell ref="A1:J1"/>
    <mergeCell ref="A3:J3"/>
    <mergeCell ref="A9:D9"/>
    <mergeCell ref="A26:L26"/>
    <mergeCell ref="J27:J28"/>
    <mergeCell ref="K27:K28"/>
    <mergeCell ref="L27:L28"/>
  </mergeCells>
  <conditionalFormatting sqref="J29:J31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{0e6b0c57-d624-4928-ba16-d4667e1a1738}</x14:id>
        </ext>
      </extLst>
    </cfRule>
  </conditionalFormatting>
  <conditionalFormatting sqref="L29:L31">
    <cfRule type="expression" dxfId="0" priority="2">
      <formula>L29="推荐"</formula>
    </cfRule>
  </conditionalFormatting>
  <dataValidations count="1">
    <dataValidation type="list" allowBlank="1" showInputMessage="1" showErrorMessage="1" sqref="L29 L30 L31">
      <formula1>"备选,推荐"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6b0c57-d624-4928-ba16-d4667e1a1738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J29:J31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保险方案评分计算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兮夕颜</cp:lastModifiedBy>
  <dcterms:created xsi:type="dcterms:W3CDTF">2026-08-12T20:48:15Z</dcterms:created>
  <dcterms:modified xsi:type="dcterms:W3CDTF">2026-08-12T21:08:07Z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AF6E6518F44E46C79878084F4DC9D65E_13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