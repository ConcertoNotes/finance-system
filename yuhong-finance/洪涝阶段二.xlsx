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uaweiMoveData\Users\zxw追梦者\Desktop\"/>
    </mc:Choice>
  </mc:AlternateContent>
  <bookViews>
    <workbookView windowWidth="20750" windowHeight="10480"/>
  </bookViews>
  <sheets>
    <sheet name="采购成本保障岗" sheetId="1" r:id="rId1"/>
    <sheet name="应急预算绩效岗" sheetId="2" r:id="rId2"/>
    <sheet name="资金核算风控岗" sheetId="3" r:id="rId3"/>
    <sheet name="财务主管统筹岗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<sst xmlns="http://schemas.openxmlformats.org/spreadsheetml/2006/main" count="726" uniqueCount="583">
  <si>
    <t>任务1：生成9网格采购需求</t>
  </si>
  <si>
    <t>现生成9网格采购需求。</t>
  </si>
  <si>
    <t xml:space="preserve"> </t>
  </si>
  <si>
    <t>数据来源：9网格物资需求清单、固定安置场所容量、现有库存、在途物资、已锁定分配量、可调拨物资、捐赠物资、安全库存和C方案预算限额。</t>
  </si>
  <si>
    <t>第一步：确认安置方式。</t>
  </si>
  <si>
    <t>9网格转移安置人数共8100人，学校、社区服务中心和临时安置点等固定场所可安置6100人；</t>
  </si>
  <si>
    <t>确认安置方式与帐篷需求量</t>
  </si>
  <si>
    <t>项目</t>
  </si>
  <si>
    <t>数值</t>
  </si>
  <si>
    <t>单位</t>
  </si>
  <si>
    <t>说明</t>
  </si>
  <si>
    <t>备注</t>
  </si>
  <si>
    <r>
      <rPr>
        <sz val="11"/>
        <rFont val="Carlito"/>
        <charset val="134"/>
      </rPr>
      <t>9</t>
    </r>
    <r>
      <rPr>
        <sz val="11"/>
        <rFont val="宋体"/>
        <charset val="134"/>
      </rPr>
      <t>网格转移安置人数</t>
    </r>
  </si>
  <si>
    <t>人</t>
  </si>
  <si>
    <t>本次灾情更新后总人数</t>
  </si>
  <si>
    <t>固定场所可安置人数</t>
  </si>
  <si>
    <t>学校、社区服务中心、临时安置点等</t>
  </si>
  <si>
    <t>需帐篷安置人数</t>
  </si>
  <si>
    <r>
      <rPr>
        <sz val="11"/>
        <rFont val="宋体"/>
        <charset val="134"/>
      </rPr>
      <t>转移安置人数</t>
    </r>
    <r>
      <rPr>
        <sz val="11"/>
        <rFont val="Carlito"/>
        <charset val="134"/>
      </rPr>
      <t>-</t>
    </r>
    <r>
      <rPr>
        <sz val="11"/>
        <rFont val="宋体"/>
        <charset val="134"/>
      </rPr>
      <t>固定场所容量</t>
    </r>
  </si>
  <si>
    <t>每顶帐篷容纳人数</t>
  </si>
  <si>
    <t>人/顶</t>
  </si>
  <si>
    <t>预算保障标准</t>
  </si>
  <si>
    <t>帐篷需要数量</t>
  </si>
  <si>
    <t>顶</t>
  </si>
  <si>
    <t>-</t>
  </si>
  <si>
    <t>第二步：核验帐篷可用量。</t>
  </si>
  <si>
    <t>现有帐篷120顶和在途帐篷50顶已锁定用于甲1、甲2、甲8等网格基础保障及安全库存，当前无法直接冲减甲3、甲6新增需求；已确认帐篷捐赠为0顶。</t>
  </si>
  <si>
    <r>
      <rPr>
        <b/>
        <sz val="11"/>
        <color rgb="FFFFFFFF"/>
        <rFont val="宋体"/>
        <charset val="134"/>
      </rPr>
      <t>甲</t>
    </r>
    <r>
      <rPr>
        <b/>
        <sz val="11"/>
        <color rgb="FFFFFFFF"/>
        <rFont val="Carlito"/>
        <charset val="134"/>
      </rPr>
      <t>3/</t>
    </r>
    <r>
      <rPr>
        <b/>
        <sz val="11"/>
        <color rgb="FFFFFFFF"/>
        <rFont val="宋体"/>
        <charset val="134"/>
      </rPr>
      <t>甲</t>
    </r>
    <r>
      <rPr>
        <b/>
        <sz val="11"/>
        <color rgb="FFFFFFFF"/>
        <rFont val="Carlito"/>
        <charset val="134"/>
      </rPr>
      <t>6</t>
    </r>
    <r>
      <rPr>
        <b/>
        <sz val="11"/>
        <color rgb="FFFFFFFF"/>
        <rFont val="宋体"/>
        <charset val="134"/>
      </rPr>
      <t>帐篷重点保障需求测算</t>
    </r>
  </si>
  <si>
    <t>测算项目</t>
  </si>
  <si>
    <t>重点保障人数</t>
  </si>
  <si>
    <t>每顶容纳人数</t>
  </si>
  <si>
    <t>重点保障需求量</t>
  </si>
  <si>
    <t>现有帐篷</t>
  </si>
  <si>
    <t>在途帐篷</t>
  </si>
  <si>
    <t>已锁定数量</t>
  </si>
  <si>
    <t>重点网格可用库存</t>
  </si>
  <si>
    <t>可调拨量</t>
  </si>
  <si>
    <t>已确认捐赠</t>
  </si>
  <si>
    <t>最终采购需求</t>
  </si>
  <si>
    <t>甲3/甲6帐篷</t>
  </si>
  <si>
    <t>现有和在途数量已锁定用于其他地方，不直接冲减新增需求</t>
  </si>
  <si>
    <t>第三步：计算其他物资净需求。</t>
  </si>
  <si>
    <t>其他物资净采购需求测算</t>
  </si>
  <si>
    <t>物资</t>
  </si>
  <si>
    <t>总需求</t>
  </si>
  <si>
    <t>现有可用库存</t>
  </si>
  <si>
    <t>在途数量</t>
  </si>
  <si>
    <t>可调拨数量</t>
  </si>
  <si>
    <t>净采购量</t>
  </si>
  <si>
    <t>预算标准单价（元）</t>
  </si>
  <si>
    <t>预算金额（元）</t>
  </si>
  <si>
    <t>帐篷</t>
  </si>
  <si>
    <t>棉被</t>
  </si>
  <si>
    <t>救生衣</t>
  </si>
  <si>
    <t>急救包</t>
  </si>
  <si>
    <t>饮用水</t>
  </si>
  <si>
    <t>食品</t>
  </si>
  <si>
    <t>合计</t>
  </si>
  <si>
    <t>根据填写情况实时跳动</t>
  </si>
  <si>
    <t>第五步：形成两类执行路径。</t>
  </si>
  <si>
    <t>合同采购：</t>
  </si>
  <si>
    <t>由供应商遴选统一采购：帐篷500顶、棉被6604床、救生衣468件、急救包324套；</t>
  </si>
  <si>
    <t>生活保障直采：</t>
  </si>
  <si>
    <t>饮用水629箱、食品1704箱采用大型商超应急零售；</t>
  </si>
  <si>
    <t>如已有框架协议，则按框架协议直接下单，不纳入供应商综合遴选和主合同打包。</t>
  </si>
  <si>
    <t>采购执行路径</t>
  </si>
  <si>
    <t>执行类别</t>
  </si>
  <si>
    <r>
      <rPr>
        <b/>
        <sz val="11"/>
        <color rgb="FF17365D"/>
        <rFont val="宋体"/>
        <charset val="134"/>
      </rPr>
      <t>合同</t>
    </r>
    <r>
      <rPr>
        <b/>
        <sz val="11"/>
        <color rgb="FF17365D"/>
        <rFont val="Carlito"/>
        <charset val="134"/>
      </rPr>
      <t>/</t>
    </r>
    <r>
      <rPr>
        <b/>
        <sz val="11"/>
        <color rgb="FF17365D"/>
        <rFont val="宋体"/>
        <charset val="134"/>
      </rPr>
      <t>方式</t>
    </r>
  </si>
  <si>
    <t>采购数量</t>
  </si>
  <si>
    <t>是否纳入供应商综合遴选</t>
  </si>
  <si>
    <t>优先要求</t>
  </si>
  <si>
    <t>全都下拉选项</t>
  </si>
  <si>
    <t>合同采购</t>
  </si>
  <si>
    <t>合同签订</t>
  </si>
  <si>
    <t>是</t>
  </si>
  <si>
    <t>优先锁量锁价</t>
  </si>
  <si>
    <t>床</t>
  </si>
  <si>
    <t>按保障顺序配送</t>
  </si>
  <si>
    <t/>
  </si>
  <si>
    <t>件</t>
  </si>
  <si>
    <t>套</t>
  </si>
  <si>
    <t>生活保障直采</t>
  </si>
  <si>
    <t>大型商超应急零售/框架协议</t>
  </si>
  <si>
    <t>箱</t>
  </si>
  <si>
    <t>否</t>
  </si>
  <si>
    <t>快速到货</t>
  </si>
  <si>
    <t>已有框架协议则直接下单</t>
  </si>
  <si>
    <t>按保障优先级安排采购与配送顺序：甲3&gt;甲6&gt;甲5&gt;甲4&gt;甲7&gt;甲1&gt;甲9&gt;甲2&gt;甲8。</t>
  </si>
  <si>
    <t>点击匹配</t>
  </si>
  <si>
    <t>采购与配送保障优先级</t>
  </si>
  <si>
    <t>排序</t>
  </si>
  <si>
    <t>网格</t>
  </si>
  <si>
    <t>保障优先级</t>
  </si>
  <si>
    <t>甲3</t>
  </si>
  <si>
    <t>最高</t>
  </si>
  <si>
    <t>甲6</t>
  </si>
  <si>
    <t>高</t>
  </si>
  <si>
    <t>甲5</t>
  </si>
  <si>
    <t>甲4</t>
  </si>
  <si>
    <t>较高</t>
  </si>
  <si>
    <t>甲7</t>
  </si>
  <si>
    <t>甲1</t>
  </si>
  <si>
    <t>一般</t>
  </si>
  <si>
    <t>甲9</t>
  </si>
  <si>
    <t>甲2</t>
  </si>
  <si>
    <t>较低</t>
  </si>
  <si>
    <t>甲8</t>
  </si>
  <si>
    <t>任务2：建立分层采购价格基准</t>
  </si>
  <si>
    <t>点完出现下面</t>
  </si>
  <si>
    <t>第一步：采集价格数据。</t>
  </si>
  <si>
    <t>点击接收供应商报价</t>
  </si>
  <si>
    <t>合同采购物资价格采集表</t>
  </si>
  <si>
    <t>历史采购价</t>
  </si>
  <si>
    <t>最近市场参考价</t>
  </si>
  <si>
    <t>S1报价</t>
  </si>
  <si>
    <t>S2报价</t>
  </si>
  <si>
    <t>S3报价</t>
  </si>
  <si>
    <t>税费口径</t>
  </si>
  <si>
    <t>运输及应急成本要求</t>
  </si>
  <si>
    <t>850元/顶</t>
  </si>
  <si>
    <t>820元/顶</t>
  </si>
  <si>
    <t>880元/顶</t>
  </si>
  <si>
    <t>835元/顶</t>
  </si>
  <si>
    <t>968元/顶</t>
  </si>
  <si>
    <t>统一按含税货物单价</t>
  </si>
  <si>
    <t>正常运输费用、应急交付附加成本单独列示</t>
  </si>
  <si>
    <t>65元/床</t>
  </si>
  <si>
    <t>63元/床</t>
  </si>
  <si>
    <t>67元/床</t>
  </si>
  <si>
    <t>64元/床</t>
  </si>
  <si>
    <t>72元/床</t>
  </si>
  <si>
    <t>75元/件</t>
  </si>
  <si>
    <t>73元/件</t>
  </si>
  <si>
    <t>78元/件</t>
  </si>
  <si>
    <t>74元/件</t>
  </si>
  <si>
    <t>85元/件</t>
  </si>
  <si>
    <t>180元/套</t>
  </si>
  <si>
    <t>175元/套</t>
  </si>
  <si>
    <t>185元/套</t>
  </si>
  <si>
    <t>178元/套</t>
  </si>
  <si>
    <t>210元/套</t>
  </si>
  <si>
    <t>生活保障直采物资价格核验表</t>
  </si>
  <si>
    <t>历史价</t>
  </si>
  <si>
    <t>市场参考价</t>
  </si>
  <si>
    <t>应急零售/框架协议控制价</t>
  </si>
  <si>
    <t>采购方式</t>
  </si>
  <si>
    <t>供应商评分</t>
  </si>
  <si>
    <t>凭证留存要求</t>
  </si>
  <si>
    <t>24元/箱</t>
  </si>
  <si>
    <t>23元/箱</t>
  </si>
  <si>
    <t>23.5元/箱</t>
  </si>
  <si>
    <t>大型商超应急零售/框架协议直采</t>
  </si>
  <si>
    <t>不纳入S1、S2、S3评分</t>
  </si>
  <si>
    <t>询价截图、订单或销售凭证</t>
  </si>
  <si>
    <t>80元/箱</t>
  </si>
  <si>
    <t>78元/箱</t>
  </si>
  <si>
    <t>79元/箱</t>
  </si>
  <si>
    <t>第二步：打开分层采购价格计算表</t>
  </si>
  <si>
    <t>下载“分层采购价格计算表”</t>
  </si>
  <si>
    <t>点击 导入测算结果</t>
  </si>
  <si>
    <t>第三步：设置采购控制阈值</t>
  </si>
  <si>
    <t>应急采购价格偏差预警规则</t>
  </si>
  <si>
    <t>计算公式设置为：</t>
  </si>
  <si>
    <t>价格偏差率 =（当前报价－控制基准价）÷控制基准价 ×100%</t>
  </si>
  <si>
    <t>设置阈值：</t>
  </si>
  <si>
    <t>偏差率＜5%：绿色，正常</t>
  </si>
  <si>
    <t>“绿灯”正常</t>
  </si>
  <si>
    <t>偏差率≥5%且＜10%：黄色预警</t>
  </si>
  <si>
    <r>
      <t>“黄灯”</t>
    </r>
    <r>
      <rPr>
        <sz val="11"/>
        <color theme="1"/>
        <rFont val="宋体"/>
        <charset val="134"/>
        <scheme val="minor"/>
      </rPr>
      <t>重点关注</t>
    </r>
  </si>
  <si>
    <t>偏差率≥10%：红色预警</t>
  </si>
  <si>
    <t>🔴 重点复核</t>
  </si>
  <si>
    <t>点击：</t>
  </si>
  <si>
    <t>输出：《4类合同物资价格基准表》《2类生活保障物资应急零售/框架直采价格核验表》《价格偏差分析表》《报价口径校验单》。</t>
  </si>
  <si>
    <t>任务3：合同物资供应商综合评分与初始遴选</t>
  </si>
  <si>
    <t>现进行供应商综合评分。</t>
  </si>
  <si>
    <t>食品、饮用水通过大型商超应急零售/框架协议直采。</t>
  </si>
  <si>
    <t>评分维度为报价40%、交付时间20%、物资质量15%、供应商资质10%、历史履约率10%、运输距离5%。其中报价得分按4类合同物资综合报价测算。</t>
  </si>
  <si>
    <t>评分维度</t>
  </si>
  <si>
    <t>权重</t>
  </si>
  <si>
    <t>报价</t>
  </si>
  <si>
    <t>交付时间</t>
  </si>
  <si>
    <t>这三张表要能复制到excel</t>
  </si>
  <si>
    <t>物资质量</t>
  </si>
  <si>
    <t>供应商资质</t>
  </si>
  <si>
    <t>历史履约率</t>
  </si>
  <si>
    <t>运输距离</t>
  </si>
  <si>
    <t>权重合计</t>
  </si>
  <si>
    <t>供应商报价得分</t>
  </si>
  <si>
    <t>供应商</t>
  </si>
  <si>
    <t>报价得分</t>
  </si>
  <si>
    <t>交付得分</t>
  </si>
  <si>
    <t>质量得分</t>
  </si>
  <si>
    <t>资质得分</t>
  </si>
  <si>
    <t>历史履约得分</t>
  </si>
  <si>
    <t>距离得分</t>
  </si>
  <si>
    <t>S1</t>
  </si>
  <si>
    <t>S2</t>
  </si>
  <si>
    <t>S3</t>
  </si>
  <si>
    <t>加权综合得分明细</t>
  </si>
  <si>
    <t>报价贡献</t>
  </si>
  <si>
    <t>交付贡献</t>
  </si>
  <si>
    <t>质量贡献</t>
  </si>
  <si>
    <t>资质贡献</t>
  </si>
  <si>
    <t>历史履约贡献</t>
  </si>
  <si>
    <t>距离贡献</t>
  </si>
  <si>
    <t>综合得分</t>
  </si>
  <si>
    <t>排名</t>
  </si>
  <si>
    <t>任务4：初始合同、直采控制与预算占用</t>
  </si>
  <si>
    <t>现进行初始合同、应急直采控制和预算占用。</t>
  </si>
  <si>
    <t>HT-2025-001合同物资：</t>
  </si>
  <si>
    <t>帐篷500顶、棉被6604床、救生衣468件、急救包324套。食品、饮用水不纳入该供应商采购合同。</t>
  </si>
  <si>
    <t>蓝色底色格子需要学生计算</t>
  </si>
  <si>
    <t>合同单价：</t>
  </si>
  <si>
    <t>帐篷835元/顶、棉被64元/床、救生衣74元/件、急救包178元/套。</t>
  </si>
  <si>
    <t>生活保障直采控制价：</t>
  </si>
  <si>
    <t>饮用水23.5元/箱、食品79元/箱。</t>
  </si>
  <si>
    <t>洪涝应急救援物资采购合同</t>
  </si>
  <si>
    <t>合同编号：HT-2025-001  |  供应商：S2</t>
  </si>
  <si>
    <t>甲方（采购方）：</t>
  </si>
  <si>
    <t>A单位</t>
  </si>
  <si>
    <t>乙方（供应方）：</t>
  </si>
  <si>
    <t>S2供应商</t>
  </si>
  <si>
    <t>项目名称：</t>
  </si>
  <si>
    <t>洪涝应急救援专项</t>
  </si>
  <si>
    <t>合同性质：</t>
  </si>
  <si>
    <t>四类合同采购物资合同</t>
  </si>
  <si>
    <t>合同金额：</t>
  </si>
  <si>
    <t>人民币 932,460.00 元（大写：玖拾叁万贰仟肆佰陆拾元整）</t>
  </si>
  <si>
    <t>根据项目应急采购安排，甲乙双方就帐篷、棉被、救生衣、急救包等救灾物资采购事宜达成本合同。本合同用于项目比赛演示及内部流程呈现，正式签署时应补全采购主体、供应商法定名称、地址、联系人、账户等信息。</t>
  </si>
  <si>
    <t>第一条 采购标的、数量及合同价款</t>
  </si>
  <si>
    <t>本合同仅包含帐篷、棉被、救生衣、急救包四类合同采购物资。食品、饮用水不纳入本合同，不随乙方打包采购。</t>
  </si>
  <si>
    <t>序号</t>
  </si>
  <si>
    <t>货物名称</t>
  </si>
  <si>
    <t>数量</t>
  </si>
  <si>
    <t>含税合同单价（元）</t>
  </si>
  <si>
    <t>含税金额（元）</t>
  </si>
  <si>
    <t>合计：</t>
  </si>
  <si>
    <t>大写人民币：玖拾叁万贰仟肆佰陆拾元整</t>
  </si>
  <si>
    <t>注：上述单价为本次合同确认的含税货物单价。</t>
  </si>
  <si>
    <t>正常配送至甲方指定收货地点由乙方按本合同履约要求组织。若因经批准的重大路线变化、不可抗因素等产生额外应急运输或人工成本，必须单独列示、事前审批并通过补充协议确认，不得擅自并入货物单价。</t>
  </si>
  <si>
    <t>第二条 交付要求</t>
  </si>
  <si>
    <t>1. 乙方应在合同生效后12小时内将重点保障物资送达甲方指定的重点网格或指定收货点，优先保障甲3、甲6等重点安置区域。</t>
  </si>
  <si>
    <t>2. 乙方应按照甲方发出的配送指令组织运输，并保证交付数量、规格和批次资料与合同、订单及装箱清单一致。</t>
  </si>
  <si>
    <t>3. 如乙方库存、运输或交付能力发生重大变化，可能影响约定时限或数量，应在发现后1小时内向甲方报告，不得隐瞒或延迟报告。</t>
  </si>
  <si>
    <t>第三条 验收标准与验收处理</t>
  </si>
  <si>
    <t>主要验收项目</t>
  </si>
  <si>
    <t>验收依据</t>
  </si>
  <si>
    <t>不合格处理</t>
  </si>
  <si>
    <t>数量、规格、外观、防水性能</t>
  </si>
  <si>
    <t>合同、订单、产品资料及现场验收记录</t>
  </si>
  <si>
    <t>不合格数量单独隔离，暂停对应付款并要求补换货</t>
  </si>
  <si>
    <t>数量、规格、外观</t>
  </si>
  <si>
    <t>数量、规格、外观、有效期</t>
  </si>
  <si>
    <t>不合格或有效期不符合要求的数量暂停付款并要求补换货</t>
  </si>
  <si>
    <t>未经验收或验收不合格的部分，不视为完成交付；甲方有权暂停对应金额的付款，待乙方完成补换货并复验合格后再进入付款流程。</t>
  </si>
  <si>
    <t>第四条 发票、付款与资金控制</t>
  </si>
  <si>
    <t>1. 乙方应按甲方要求开具合法有效发票，合同主体、发票主体与收款账户应保持一致。</t>
  </si>
  <si>
    <t>2. 验收合格后，甲方在取得合同、发票、验收记录及付款审批资料后7日内办理对应合格部分付款。</t>
  </si>
  <si>
    <t>3. 未验收、验收不合格、资料不完整或主体/账户校验异常的部分暂停付款。</t>
  </si>
  <si>
    <t>4. 本合同付款受C方案预算控制及项目资金用途规则约束；任何合同变更、增量采购或额外费用均须重新履行预算占用与价格校验。</t>
  </si>
  <si>
    <t>第五条 初始供应与备选机制</t>
  </si>
  <si>
    <t>乙方S2为HT-2025-001四类合同物资的唯一初始主供应商。备选供应商不参与初始合同分单；只有在乙方出现库存不足、交付延迟、履约异常等情形并经甲方审批后，方可按项目既定备选机制启动其他供应来源。</t>
  </si>
  <si>
    <t>第六条 合同变更与不可抗因素</t>
  </si>
  <si>
    <t>如发生不可抗因素或其他确需调整的重大情形，双方可在不违反项目预算、价格控制和审批权限的前提下协商变更合同内容。任何变更须形成书面补充协议或经平台审批留痕后生效。</t>
  </si>
  <si>
    <t>第七条 违约与异常处理</t>
  </si>
  <si>
    <t>乙方未按约定时限、数量或质量交付的，甲方可要求限时整改、补货、换货，暂停相关付款，并根据应急保障需要启动备选供应机制。造成项目额外损失的，按双方确认的责任和补充约定处理。</t>
  </si>
  <si>
    <t>第八条 合同生效、争议处理与其他</t>
  </si>
  <si>
    <t>本合同经双方授权代表签字并盖章后生效。履行过程中发生争议，双方应优先协商解决；协商不成的，可依法向有管辖权的人民法院提起诉讼。未尽事宜由双方另行签署补充协议。</t>
  </si>
  <si>
    <r>
      <t>甲方（采购方）：_____</t>
    </r>
    <r>
      <rPr>
        <u/>
        <sz val="9.5"/>
        <rFont val="宋体"/>
        <charset val="134"/>
      </rPr>
      <t>__A单位___</t>
    </r>
    <r>
      <rPr>
        <sz val="9.5"/>
        <rFont val="宋体"/>
        <charset val="134"/>
      </rPr>
      <t>_________</t>
    </r>
  </si>
  <si>
    <t>乙方（S2供应商）：____________________</t>
  </si>
  <si>
    <t>授权代表：____________________</t>
  </si>
  <si>
    <t>签署日期：____年__月__日</t>
  </si>
  <si>
    <t>盖章：</t>
  </si>
  <si>
    <t>点击提交</t>
  </si>
  <si>
    <r>
      <t>生活保障物资应急零售</t>
    </r>
    <r>
      <rPr>
        <b/>
        <sz val="18"/>
        <rFont val="Noto Sans CJK SC"/>
        <charset val="134"/>
      </rPr>
      <t>/</t>
    </r>
    <r>
      <rPr>
        <b/>
        <sz val="18"/>
        <rFont val="宋体"/>
        <charset val="134"/>
      </rPr>
      <t>框架协议直采协议</t>
    </r>
  </si>
  <si>
    <r>
      <t>适用物资：饮用水、食品</t>
    </r>
    <r>
      <rPr>
        <sz val="9.5"/>
        <rFont val="Noto Serif CJK SC"/>
        <charset val="134"/>
      </rPr>
      <t xml:space="preserve">  |  </t>
    </r>
    <r>
      <rPr>
        <sz val="9.5"/>
        <rFont val="宋体"/>
        <charset val="134"/>
      </rPr>
      <t>不纳入</t>
    </r>
    <r>
      <rPr>
        <sz val="9.5"/>
        <rFont val="Noto Serif CJK SC"/>
        <charset val="134"/>
      </rPr>
      <t>HT-2025-001</t>
    </r>
    <r>
      <rPr>
        <sz val="9.5"/>
        <rFont val="宋体"/>
        <charset val="134"/>
      </rPr>
      <t>主合同</t>
    </r>
  </si>
  <si>
    <t>甲方（采购方）</t>
  </si>
  <si>
    <r>
      <t>乙方（商超</t>
    </r>
    <r>
      <rPr>
        <b/>
        <sz val="9.5"/>
        <rFont val="Noto Sans CJK SC"/>
        <charset val="134"/>
      </rPr>
      <t>/</t>
    </r>
    <r>
      <rPr>
        <b/>
        <sz val="9.5"/>
        <rFont val="宋体"/>
        <charset val="134"/>
      </rPr>
      <t>框架供应商）</t>
    </r>
  </si>
  <si>
    <r>
      <t>B</t>
    </r>
    <r>
      <rPr>
        <sz val="9.5"/>
        <rFont val="宋体"/>
        <charset val="134"/>
      </rPr>
      <t>商超</t>
    </r>
  </si>
  <si>
    <t>项目名称</t>
  </si>
  <si>
    <t>大型商超应急零售或已签订框架协议直接下单</t>
  </si>
  <si>
    <t>当前控制金额</t>
  </si>
  <si>
    <r>
      <t>人民币</t>
    </r>
    <r>
      <rPr>
        <sz val="9.5"/>
        <rFont val="Noto Serif CJK SC"/>
        <charset val="134"/>
      </rPr>
      <t xml:space="preserve"> 149,397.50 </t>
    </r>
    <r>
      <rPr>
        <sz val="9.5"/>
        <rFont val="宋体"/>
        <charset val="134"/>
      </rPr>
      <t>元</t>
    </r>
  </si>
  <si>
    <r>
      <t>本协议用于饮用水、食品等生活保障物资的应急零售</t>
    </r>
    <r>
      <rPr>
        <sz val="10.5"/>
        <rFont val="Noto Serif CJK SC"/>
        <charset val="134"/>
      </rPr>
      <t>/</t>
    </r>
    <r>
      <rPr>
        <sz val="10.5"/>
        <rFont val="宋体"/>
        <charset val="134"/>
      </rPr>
      <t>框架协议直采控制。</t>
    </r>
  </si>
  <si>
    <r>
      <t>第一条</t>
    </r>
    <r>
      <rPr>
        <b/>
        <sz val="12"/>
        <rFont val="Noto Sans CJK SC"/>
        <charset val="134"/>
      </rPr>
      <t xml:space="preserve"> </t>
    </r>
    <r>
      <rPr>
        <b/>
        <sz val="12"/>
        <rFont val="宋体"/>
        <charset val="134"/>
      </rPr>
      <t>物资、数量、控制价及金额测算</t>
    </r>
  </si>
  <si>
    <t>当前净需求量</t>
  </si>
  <si>
    <t>历史价（元）</t>
  </si>
  <si>
    <t>市场参考价（元）</t>
  </si>
  <si>
    <t>直采控制价</t>
  </si>
  <si>
    <t>控制金额（元）</t>
  </si>
  <si>
    <t>大写人民币：壹拾肆万玖仟叁佰玖拾柒元伍角整</t>
  </si>
  <si>
    <r>
      <t>当前控制金额：</t>
    </r>
    <r>
      <rPr>
        <sz val="10.5"/>
        <rFont val="Noto Serif CJK SC"/>
        <charset val="134"/>
      </rPr>
      <t>149,397.50</t>
    </r>
    <r>
      <rPr>
        <sz val="10.5"/>
        <rFont val="宋体"/>
        <charset val="134"/>
      </rPr>
      <t>元。该金额为按当前需求量和控制价测算的预算占用控制金额，不等同于无条件固定结算额。</t>
    </r>
  </si>
  <si>
    <t>实际成交价原则上不得高于上述直采控制价；如因极端供给、配送等原因确需突破控制价，必须重新履行价格核验和审批程序。若即时价或框架协议价低于控制价，按实际较低价格结算。</t>
  </si>
  <si>
    <r>
      <t>第二条</t>
    </r>
    <r>
      <rPr>
        <b/>
        <sz val="12"/>
        <rFont val="Noto Sans CJK SC"/>
        <charset val="134"/>
      </rPr>
      <t xml:space="preserve"> </t>
    </r>
    <r>
      <rPr>
        <b/>
        <sz val="12"/>
        <rFont val="宋体"/>
        <charset val="134"/>
      </rPr>
      <t>价格口径与凭证要求</t>
    </r>
  </si>
  <si>
    <r>
      <t xml:space="preserve">1. </t>
    </r>
    <r>
      <rPr>
        <sz val="10.5"/>
        <rFont val="宋体"/>
        <charset val="134"/>
      </rPr>
      <t>饮用水、食品按含税零售价或框架协议结算价核验。配送费如单独发生，应单列，不得与货价混同。</t>
    </r>
  </si>
  <si>
    <r>
      <t xml:space="preserve">2. </t>
    </r>
    <r>
      <rPr>
        <sz val="10.5"/>
        <rFont val="宋体"/>
        <charset val="134"/>
      </rPr>
      <t>每次采购应至少留存采购审批、商超即时询价截图或框架协议价依据、订单或销售凭证、发票</t>
    </r>
    <r>
      <rPr>
        <sz val="10.5"/>
        <rFont val="Noto Serif CJK SC"/>
        <charset val="134"/>
      </rPr>
      <t>/</t>
    </r>
    <r>
      <rPr>
        <sz val="10.5"/>
        <rFont val="宋体"/>
        <charset val="134"/>
      </rPr>
      <t>合法结算凭证、收货验收记录和支付凭证。</t>
    </r>
  </si>
  <si>
    <r>
      <t xml:space="preserve">3. </t>
    </r>
    <r>
      <rPr>
        <sz val="10.5"/>
        <rFont val="宋体"/>
        <charset val="134"/>
      </rPr>
      <t>后续发生商超临时补货、框架协议价格调整或采购数量变化时，应重新执行价格与预算校验。</t>
    </r>
  </si>
  <si>
    <r>
      <t>第三条</t>
    </r>
    <r>
      <rPr>
        <b/>
        <sz val="12"/>
        <rFont val="Noto Sans CJK SC"/>
        <charset val="134"/>
      </rPr>
      <t xml:space="preserve"> </t>
    </r>
    <r>
      <rPr>
        <b/>
        <sz val="12"/>
        <rFont val="宋体"/>
        <charset val="134"/>
      </rPr>
      <t>质量、批次与收货验收</t>
    </r>
  </si>
  <si>
    <t>验收项目</t>
  </si>
  <si>
    <t>重点凭证</t>
  </si>
  <si>
    <t>数量、规格、包装完整、批次及保质期</t>
  </si>
  <si>
    <r>
      <t>订单</t>
    </r>
    <r>
      <rPr>
        <sz val="8.5"/>
        <rFont val="Noto Serif CJK SC"/>
        <charset val="134"/>
      </rPr>
      <t>/</t>
    </r>
    <r>
      <rPr>
        <sz val="8.5"/>
        <rFont val="宋体"/>
        <charset val="134"/>
      </rPr>
      <t>销售凭证、批次信息、收货记录</t>
    </r>
  </si>
  <si>
    <t>拒收或隔离不合格数量，对应金额不进入付款</t>
  </si>
  <si>
    <r>
      <t>第四条</t>
    </r>
    <r>
      <rPr>
        <b/>
        <sz val="12"/>
        <rFont val="Noto Sans CJK SC"/>
        <charset val="134"/>
      </rPr>
      <t xml:space="preserve"> </t>
    </r>
    <r>
      <rPr>
        <b/>
        <sz val="12"/>
        <rFont val="宋体"/>
        <charset val="134"/>
      </rPr>
      <t>订单、配送与应急保障</t>
    </r>
  </si>
  <si>
    <r>
      <t>甲方根据</t>
    </r>
    <r>
      <rPr>
        <sz val="10.5"/>
        <rFont val="Noto Serif CJK SC"/>
        <charset val="134"/>
      </rPr>
      <t>9</t>
    </r>
    <r>
      <rPr>
        <sz val="10.5"/>
        <rFont val="宋体"/>
        <charset val="134"/>
      </rPr>
      <t>网格保障需求分批下单，乙方按照订单指定时间、数量及收货地点组织配送。重点保障期间应优先满足项目指定网格的生活保障物资需求。</t>
    </r>
  </si>
  <si>
    <t>如供应能力、即时库存或配送能力发生重大变化，乙方应及时通知甲方；甲方可根据应急保障需要调整订单、切换零售渠道或调用其他框架供应资源。</t>
  </si>
  <si>
    <r>
      <t>第五条</t>
    </r>
    <r>
      <rPr>
        <b/>
        <sz val="12"/>
        <rFont val="Noto Sans CJK SC"/>
        <charset val="134"/>
      </rPr>
      <t xml:space="preserve"> </t>
    </r>
    <r>
      <rPr>
        <b/>
        <sz val="12"/>
        <rFont val="宋体"/>
        <charset val="134"/>
      </rPr>
      <t>结算与付款控制</t>
    </r>
  </si>
  <si>
    <t>每笔直采以实际审批订单、实际验收合格数量及经核验的实际成交价为结算依据。付款前必须完成价格校验、收货验收和凭证核验；未验收、价格超控未审批、资料不完整或用途不匹配的支出暂停付款。</t>
  </si>
  <si>
    <r>
      <t>第六条</t>
    </r>
    <r>
      <rPr>
        <b/>
        <sz val="12"/>
        <rFont val="Noto Sans CJK SC"/>
        <charset val="134"/>
      </rPr>
      <t xml:space="preserve"> </t>
    </r>
    <r>
      <rPr>
        <b/>
        <sz val="12"/>
        <rFont val="宋体"/>
        <charset val="134"/>
      </rPr>
      <t>与主合同及预算的关系</t>
    </r>
  </si>
  <si>
    <r>
      <t>饮用水、食品直采金额不计入</t>
    </r>
    <r>
      <rPr>
        <sz val="10.5"/>
        <rFont val="Noto Serif CJK SC"/>
        <charset val="134"/>
      </rPr>
      <t>HT-2025-001</t>
    </r>
    <r>
      <rPr>
        <sz val="10.5"/>
        <rFont val="宋体"/>
        <charset val="134"/>
      </rPr>
      <t>主合同金额。当前直采预算占用</t>
    </r>
    <r>
      <rPr>
        <sz val="10.5"/>
        <rFont val="Noto Serif CJK SC"/>
        <charset val="134"/>
      </rPr>
      <t>149,397.50</t>
    </r>
    <r>
      <rPr>
        <sz val="10.5"/>
        <rFont val="宋体"/>
        <charset val="134"/>
      </rPr>
      <t>元，与</t>
    </r>
    <r>
      <rPr>
        <sz val="10.5"/>
        <rFont val="Noto Serif CJK SC"/>
        <charset val="134"/>
      </rPr>
      <t>HT-2025-001</t>
    </r>
    <r>
      <rPr>
        <sz val="10.5"/>
        <rFont val="宋体"/>
        <charset val="134"/>
      </rPr>
      <t>合同金额</t>
    </r>
    <r>
      <rPr>
        <sz val="10.5"/>
        <rFont val="Noto Serif CJK SC"/>
        <charset val="134"/>
      </rPr>
      <t>932,460.00</t>
    </r>
    <r>
      <rPr>
        <sz val="10.5"/>
        <rFont val="宋体"/>
        <charset val="134"/>
      </rPr>
      <t>元合并形成初始采购预算占用</t>
    </r>
    <r>
      <rPr>
        <sz val="10.5"/>
        <rFont val="Noto Serif CJK SC"/>
        <charset val="134"/>
      </rPr>
      <t>1,081,857.50</t>
    </r>
    <r>
      <rPr>
        <sz val="10.5"/>
        <rFont val="宋体"/>
        <charset val="134"/>
      </rPr>
      <t>元，并统一受</t>
    </r>
    <r>
      <rPr>
        <sz val="10.5"/>
        <rFont val="Noto Serif CJK SC"/>
        <charset val="134"/>
      </rPr>
      <t>C</t>
    </r>
    <r>
      <rPr>
        <sz val="10.5"/>
        <rFont val="宋体"/>
        <charset val="134"/>
      </rPr>
      <t>方案预算限额控制。</t>
    </r>
  </si>
  <si>
    <r>
      <t>第七条</t>
    </r>
    <r>
      <rPr>
        <b/>
        <sz val="12"/>
        <rFont val="Noto Sans CJK SC"/>
        <charset val="134"/>
      </rPr>
      <t xml:space="preserve"> </t>
    </r>
    <r>
      <rPr>
        <b/>
        <sz val="12"/>
        <rFont val="宋体"/>
        <charset val="134"/>
      </rPr>
      <t>协议期限、变更与其他</t>
    </r>
  </si>
  <si>
    <t>本协议自双方确认之日起在本次洪涝应急救援采购期间有效。采购数量、即时价格或配送条件发生变化时，可通过订单、补充协议或平台审批记录进行调整，但不得绕过价格核验、预算控制和验收付款规则。</t>
  </si>
  <si>
    <t>本协议作为应急直采控制文本，正式用于外部签署时应补全双方主体名称、地址、联系人、收款账户、发票要求等信息。</t>
  </si>
  <si>
    <r>
      <t>甲方（采购方）：</t>
    </r>
    <r>
      <rPr>
        <sz val="9.5"/>
        <rFont val="Noto Serif CJK SC"/>
        <charset val="134"/>
      </rPr>
      <t>______A</t>
    </r>
    <r>
      <rPr>
        <sz val="9.5"/>
        <rFont val="宋体"/>
        <charset val="134"/>
      </rPr>
      <t>单位</t>
    </r>
    <r>
      <rPr>
        <sz val="9.5"/>
        <rFont val="Noto Serif CJK SC"/>
        <charset val="134"/>
      </rPr>
      <t>________</t>
    </r>
  </si>
  <si>
    <r>
      <t>乙方（商超</t>
    </r>
    <r>
      <rPr>
        <sz val="9.5"/>
        <rFont val="Noto Serif CJK SC"/>
        <charset val="134"/>
      </rPr>
      <t>/</t>
    </r>
    <r>
      <rPr>
        <sz val="9.5"/>
        <rFont val="宋体"/>
        <charset val="134"/>
      </rPr>
      <t>框架供应商）：B商超</t>
    </r>
  </si>
  <si>
    <r>
      <t>授权代表：</t>
    </r>
    <r>
      <rPr>
        <sz val="9.5"/>
        <rFont val="Noto Serif CJK SC"/>
        <charset val="134"/>
      </rPr>
      <t>____________________</t>
    </r>
  </si>
  <si>
    <r>
      <t>授权代表：</t>
    </r>
    <r>
      <rPr>
        <sz val="9.5"/>
        <rFont val="Noto Serif CJK SC"/>
        <charset val="134"/>
      </rPr>
      <t>__________________</t>
    </r>
  </si>
  <si>
    <r>
      <t>签署日期：</t>
    </r>
    <r>
      <rPr>
        <sz val="9.5"/>
        <rFont val="Noto Serif CJK SC"/>
        <charset val="134"/>
      </rPr>
      <t>____</t>
    </r>
    <r>
      <rPr>
        <sz val="9.5"/>
        <rFont val="宋体"/>
        <charset val="134"/>
      </rPr>
      <t>年</t>
    </r>
    <r>
      <rPr>
        <sz val="9.5"/>
        <rFont val="Noto Serif CJK SC"/>
        <charset val="134"/>
      </rPr>
      <t>__</t>
    </r>
    <r>
      <rPr>
        <sz val="9.5"/>
        <rFont val="宋体"/>
        <charset val="134"/>
      </rPr>
      <t>月</t>
    </r>
    <r>
      <rPr>
        <sz val="9.5"/>
        <rFont val="Noto Serif CJK SC"/>
        <charset val="134"/>
      </rPr>
      <t>__</t>
    </r>
    <r>
      <rPr>
        <sz val="9.5"/>
        <rFont val="宋体"/>
        <charset val="134"/>
      </rPr>
      <t>日</t>
    </r>
  </si>
  <si>
    <t>任务5：第二次突发事件——供应商库存突变，重点物资无法按时足量交付</t>
  </si>
  <si>
    <t>第一步：核验异常真实性。</t>
  </si>
  <si>
    <t>点击 调取S2供应商运输材料。</t>
  </si>
  <si>
    <t>① 实时库存台账：已核验</t>
  </si>
  <si>
    <t>② 仓库出入库记录：已核验</t>
  </si>
  <si>
    <t>③ 车辆调度记录：已核验</t>
  </si>
  <si>
    <t>④ 仓库视频/现场影像：已核验</t>
  </si>
  <si>
    <t>⑤ 物流预计到达时间：已核验</t>
  </si>
  <si>
    <r>
      <t xml:space="preserve">点击 </t>
    </r>
    <r>
      <rPr>
        <b/>
        <sz val="11"/>
        <color theme="1"/>
        <rFont val="宋体"/>
        <charset val="134"/>
        <scheme val="minor"/>
      </rPr>
      <t>【一键交叉核验】</t>
    </r>
    <r>
      <rPr>
        <sz val="11"/>
        <color theme="1"/>
        <rFont val="宋体"/>
        <charset val="134"/>
        <scheme val="minor"/>
      </rPr>
      <t xml:space="preserve"> 后，页面弹出：</t>
    </r>
  </si>
  <si>
    <t>异常真实性核验结果：通过</t>
  </si>
  <si>
    <t>异常供应商：S2</t>
  </si>
  <si>
    <t>关联合同：HT-2025-001</t>
  </si>
  <si>
    <t>异常类型：仓储受灾导致库存及交付能力下降</t>
  </si>
  <si>
    <t>现场情况：仓库局部进水</t>
  </si>
  <si>
    <t>数据一致性：✅ 多源数据相互印证</t>
  </si>
  <si>
    <t>虚假库存风险：✅ 未发现</t>
  </si>
  <si>
    <t>恶意拒绝履约风险：✅ 未发现</t>
  </si>
  <si>
    <t>综合判断：客观履约异常，进入应急供应保障调整流程。</t>
  </si>
  <si>
    <t>第二步：识别合同影响。</t>
  </si>
  <si>
    <t>原合同500顶中，12小时内可交付300顶，24小时内可交付50顶，无法确定交付150顶。12小时保障缺口=500-300=200顶；最终合同供应缺口=500-350=150顶。</t>
  </si>
  <si>
    <t>数量（顶）</t>
  </si>
  <si>
    <t>要可以复制到excel计算</t>
  </si>
  <si>
    <t>原合同帐篷数量</t>
  </si>
  <si>
    <t>HT-2025-001原合同数量</t>
  </si>
  <si>
    <t>12小时内可交付</t>
  </si>
  <si>
    <t>可满足首批应急交付</t>
  </si>
  <si>
    <t>12小时保障缺口</t>
  </si>
  <si>
    <t>12小时重点保障仍缺200顶</t>
  </si>
  <si>
    <t>12小时交付率</t>
  </si>
  <si>
    <t>首批合同履约水平</t>
  </si>
  <si>
    <t>24小时内追加可交付</t>
  </si>
  <si>
    <t>12小时后可追加供应</t>
  </si>
  <si>
    <t>24小时累计可交付</t>
  </si>
  <si>
    <t>当前能够确认的合同供应量</t>
  </si>
  <si>
    <t>24小时累计交付率</t>
  </si>
  <si>
    <t>确定可履约比例</t>
  </si>
  <si>
    <t>无法确定交付数量</t>
  </si>
  <si>
    <t>交付时间暂无法确定</t>
  </si>
  <si>
    <t>最终合同供应缺口</t>
  </si>
  <si>
    <t>需启动备选供应保障</t>
  </si>
  <si>
    <t>不确定供应占比</t>
  </si>
  <si>
    <t>原合同30%存在履约风险</t>
  </si>
  <si>
    <t>任务：预算和网格保障复核</t>
  </si>
  <si>
    <t>供应商：S2</t>
  </si>
  <si>
    <r>
      <t>帐篷报价：</t>
    </r>
    <r>
      <rPr>
        <b/>
        <sz val="11"/>
        <color theme="1"/>
        <rFont val="宋体"/>
        <charset val="134"/>
        <scheme val="minor"/>
      </rPr>
      <t>835元/顶</t>
    </r>
  </si>
  <si>
    <r>
      <t>综合价格基准：</t>
    </r>
    <r>
      <rPr>
        <b/>
        <sz val="11"/>
        <color theme="1"/>
        <rFont val="宋体"/>
        <charset val="134"/>
        <scheme val="minor"/>
      </rPr>
      <t>846.25元/顶</t>
    </r>
  </si>
  <si>
    <r>
      <t>价格偏差率：</t>
    </r>
    <r>
      <rPr>
        <b/>
        <sz val="11"/>
        <color theme="1"/>
        <rFont val="宋体"/>
        <charset val="134"/>
        <scheme val="minor"/>
      </rPr>
      <t>-1.33%｜正常</t>
    </r>
  </si>
  <si>
    <r>
      <t>交付承诺：</t>
    </r>
    <r>
      <rPr>
        <b/>
        <sz val="11"/>
        <color theme="1"/>
        <rFont val="宋体"/>
        <charset val="134"/>
        <scheme val="minor"/>
      </rPr>
      <t>12小时｜满足重点保障时限</t>
    </r>
  </si>
  <si>
    <r>
      <t>重点保障网格：</t>
    </r>
    <r>
      <rPr>
        <b/>
        <sz val="11"/>
        <color theme="1"/>
        <rFont val="宋体"/>
        <charset val="134"/>
        <scheme val="minor"/>
      </rPr>
      <t>甲3、甲6</t>
    </r>
  </si>
  <si>
    <t>点击预算校验</t>
  </si>
  <si>
    <r>
      <t>C方案预算校验：</t>
    </r>
    <r>
      <rPr>
        <b/>
        <sz val="11"/>
        <color theme="1"/>
        <rFont val="宋体"/>
        <charset val="134"/>
        <scheme val="minor"/>
      </rPr>
      <t>未超预算</t>
    </r>
  </si>
  <si>
    <t>综合结论：初始方案复核通过，可进入合同拟定环节。</t>
  </si>
  <si>
    <t>任务：C方案预算占用率测算</t>
  </si>
  <si>
    <t>C方案预算占用率测算表</t>
  </si>
  <si>
    <t>计算项目</t>
  </si>
  <si>
    <t>HT-2025-001合同采购金额</t>
  </si>
  <si>
    <t>元</t>
  </si>
  <si>
    <t>帐篷+棉被+救生衣+急救包</t>
  </si>
  <si>
    <t>食品、饮用水直采金额</t>
  </si>
  <si>
    <t>饮用水直采金额+食品直采金额</t>
  </si>
  <si>
    <t>初始采购预算占用合计</t>
  </si>
  <si>
    <t>932,460.00+149,397.50</t>
  </si>
  <si>
    <t>C方案预算上限</t>
  </si>
  <si>
    <t>已批准C方案预算</t>
  </si>
  <si>
    <t>预算占用率</t>
  </si>
  <si>
    <t>1,081,857.50÷4,278,517.50×100%</t>
  </si>
  <si>
    <t>剩余预算额度</t>
  </si>
  <si>
    <t>4,278,517.50－1,081,857.50</t>
  </si>
  <si>
    <t>剩余预算比例</t>
  </si>
  <si>
    <t>100%－25.29%</t>
  </si>
  <si>
    <t>预算控制状态</t>
  </si>
  <si>
    <t>✅ 未超预算</t>
  </si>
  <si>
    <t>占用金额≤C方案预算上限</t>
  </si>
  <si>
    <t>任务：核验S2相关资质</t>
  </si>
  <si>
    <t>营业资质：✅ 有效</t>
  </si>
  <si>
    <t>合同主体：✅ 一致</t>
  </si>
  <si>
    <t>发票主体：✅ 一致</t>
  </si>
  <si>
    <t>收款账户：✅ 一致</t>
  </si>
  <si>
    <t>关联交易：✅ 无预警</t>
  </si>
  <si>
    <t>历史付款：✅ 无异常</t>
  </si>
  <si>
    <t>综合结论：供应商主体及收款账户核验通过，可进入合同及后续付款控制流程。</t>
  </si>
  <si>
    <t>任务：采购金额核对</t>
  </si>
  <si>
    <t>进入“采购资金控制”页面</t>
  </si>
  <si>
    <r>
      <t>选择项目：</t>
    </r>
    <r>
      <rPr>
        <b/>
        <sz val="11"/>
        <color theme="1"/>
        <rFont val="宋体"/>
        <charset val="134"/>
        <scheme val="minor"/>
      </rPr>
      <t>洪涝应急救援专项</t>
    </r>
  </si>
  <si>
    <r>
      <t>选择预算方案：</t>
    </r>
    <r>
      <rPr>
        <b/>
        <sz val="11"/>
        <color theme="1"/>
        <rFont val="宋体"/>
        <charset val="134"/>
        <scheme val="minor"/>
      </rPr>
      <t>C方案</t>
    </r>
  </si>
  <si>
    <t>点击【新增记录】。</t>
  </si>
  <si>
    <t>录入两类采购预算占用</t>
  </si>
  <si>
    <t>点击录入</t>
  </si>
  <si>
    <r>
      <t>HT-2025-001合同采购：</t>
    </r>
    <r>
      <rPr>
        <b/>
        <sz val="11"/>
        <color theme="1"/>
        <rFont val="宋体"/>
        <charset val="134"/>
        <scheme val="minor"/>
      </rPr>
      <t>932,460元</t>
    </r>
  </si>
  <si>
    <r>
      <t>食品、饮用水直采：</t>
    </r>
    <r>
      <rPr>
        <b/>
        <sz val="11"/>
        <color theme="1"/>
        <rFont val="宋体"/>
        <charset val="134"/>
        <scheme val="minor"/>
      </rPr>
      <t>149,397.50元</t>
    </r>
  </si>
  <si>
    <t>系统自动计算：</t>
  </si>
  <si>
    <t>预算占用合计 = 1,081,857.50元</t>
  </si>
  <si>
    <t>点击【占用预算】后</t>
  </si>
  <si>
    <t>显示：“预算占用成功，未突破C方案额度”。</t>
  </si>
  <si>
    <t>建立预计付款计划</t>
  </si>
  <si>
    <t>点击【生成付款计划】。</t>
  </si>
  <si>
    <t>HT-2025-001设置：</t>
  </si>
  <si>
    <t>付款条件：验收合格</t>
  </si>
  <si>
    <t>付款期限：验收合格后7日内</t>
  </si>
  <si>
    <t>未验收金额：暂停付款</t>
  </si>
  <si>
    <t>食品、饮用水设置：</t>
  </si>
  <si>
    <t>按订单实际到货量付款</t>
  </si>
  <si>
    <t>收货验收后进入付款流程</t>
  </si>
  <si>
    <t>建立两本采购资金台账</t>
  </si>
  <si>
    <t>点击【生成资金台账】，平台自动形成：</t>
  </si>
  <si>
    <t>HT-001合同采购资金台账</t>
  </si>
  <si>
    <t>生活保障直采资金台账</t>
  </si>
  <si>
    <t>设置“付款前资金来源匹配”</t>
  </si>
  <si>
    <r>
      <t>将当前资金来源状态设置为：</t>
    </r>
    <r>
      <rPr>
        <b/>
        <sz val="11"/>
        <color theme="1"/>
        <rFont val="宋体"/>
        <charset val="134"/>
        <scheme val="minor"/>
      </rPr>
      <t>待付款时匹配</t>
    </r>
    <r>
      <rPr>
        <sz val="11"/>
        <color theme="1"/>
        <rFont val="宋体"/>
        <charset val="134"/>
        <scheme val="minor"/>
      </rPr>
      <t>。</t>
    </r>
  </si>
  <si>
    <t>规则设置：</t>
  </si>
  <si>
    <t>政府财政资金 → 符合规定的救灾支出</t>
  </si>
  <si>
    <t>限定性捐赠 → 必须与捐赠协议用途一致</t>
  </si>
  <si>
    <r>
      <t xml:space="preserve">用途不匹配 → </t>
    </r>
    <r>
      <rPr>
        <b/>
        <sz val="11"/>
        <color theme="1"/>
        <rFont val="宋体"/>
        <charset val="134"/>
        <scheme val="minor"/>
      </rPr>
      <t>禁止付款</t>
    </r>
  </si>
  <si>
    <t>启用“四流匹配”付款控制</t>
  </si>
  <si>
    <t>HT-2025-001设置为：</t>
  </si>
  <si>
    <t>合同 → 发票 → 履约/验收 → 付款</t>
  </si>
  <si>
    <t>食品、饮用水直采设置为：</t>
  </si>
  <si>
    <t>框架协议或采购审批单+订单 → 发票/销售凭证 → 收货验收 → 付款</t>
  </si>
  <si>
    <t>点击【启用控制】。系统显示：</t>
  </si>
  <si>
    <t>“四流匹配通过后方可付款；不一致自动暂停。”</t>
  </si>
  <si>
    <t>平台最后可以做一个总状态页：</t>
  </si>
  <si>
    <t>C方案采购资金控制</t>
  </si>
  <si>
    <t>HT-2025-001：932,460元｜已占用</t>
  </si>
  <si>
    <t>生活保障直采：149,397.50元｜已占用</t>
  </si>
  <si>
    <r>
      <t>合计：</t>
    </r>
    <r>
      <rPr>
        <b/>
        <sz val="11"/>
        <color theme="1"/>
        <rFont val="宋体"/>
        <charset val="134"/>
        <scheme val="minor"/>
      </rPr>
      <t>1,081,857.50元</t>
    </r>
  </si>
  <si>
    <r>
      <t>预计付款计划：</t>
    </r>
    <r>
      <rPr>
        <b/>
        <sz val="11"/>
        <color theme="1"/>
        <rFont val="宋体"/>
        <charset val="134"/>
        <scheme val="minor"/>
      </rPr>
      <t>已建立</t>
    </r>
  </si>
  <si>
    <r>
      <t>采购资金台账：</t>
    </r>
    <r>
      <rPr>
        <b/>
        <sz val="11"/>
        <color theme="1"/>
        <rFont val="宋体"/>
        <charset val="134"/>
        <scheme val="minor"/>
      </rPr>
      <t>已建立</t>
    </r>
  </si>
  <si>
    <r>
      <t>资金来源：</t>
    </r>
    <r>
      <rPr>
        <b/>
        <sz val="11"/>
        <color theme="1"/>
        <rFont val="宋体"/>
        <charset val="134"/>
        <scheme val="minor"/>
      </rPr>
      <t>付款前匹配</t>
    </r>
  </si>
  <si>
    <r>
      <t>四流控制：</t>
    </r>
    <r>
      <rPr>
        <b/>
        <sz val="11"/>
        <color theme="1"/>
        <rFont val="宋体"/>
        <charset val="134"/>
        <scheme val="minor"/>
      </rPr>
      <t>已启用</t>
    </r>
  </si>
  <si>
    <r>
      <t>当前状态：</t>
    </r>
    <r>
      <rPr>
        <b/>
        <sz val="11"/>
        <color theme="1"/>
        <rFont val="宋体"/>
        <charset val="134"/>
        <scheme val="minor"/>
      </rPr>
      <t>🟢 等待履约验收</t>
    </r>
  </si>
  <si>
    <t>任务：采购需求审核</t>
  </si>
  <si>
    <t>打开《9网格采购需求测算表》</t>
  </si>
  <si>
    <t>执行需求复核</t>
  </si>
  <si>
    <t>☑ 需求计算依据完整</t>
  </si>
  <si>
    <t>☑ 采购数量与重点安置对象一致</t>
  </si>
  <si>
    <t>☑ 未突破C方案预算控制范围</t>
  </si>
  <si>
    <r>
      <rPr>
        <sz val="11"/>
        <color theme="1"/>
        <rFont val="宋体"/>
        <charset val="134"/>
        <scheme val="minor"/>
      </rPr>
      <t>审核结果选择：</t>
    </r>
    <r>
      <rPr>
        <b/>
        <sz val="11"/>
        <color theme="1"/>
        <rFont val="宋体"/>
        <charset val="134"/>
        <scheme val="minor"/>
      </rPr>
      <t>通过</t>
    </r>
    <r>
      <rPr>
        <sz val="11"/>
        <color theme="1"/>
        <rFont val="宋体"/>
        <charset val="134"/>
        <scheme val="minor"/>
      </rPr>
      <t>。</t>
    </r>
  </si>
  <si>
    <t>物资采购方式</t>
  </si>
  <si>
    <t>在“采购路径”栏分别选择：</t>
  </si>
  <si>
    <t>帐篷、棉被、救生衣、急救包 → 供应商遴选/合同采购</t>
  </si>
  <si>
    <t>食品、饮用水 → 应急零售/框架协议直采</t>
  </si>
  <si>
    <t>点击 【生成采购任务】，系统自动分流：</t>
  </si>
  <si>
    <t>系统自动生成两类任务</t>
  </si>
  <si>
    <r>
      <rPr>
        <b/>
        <sz val="11"/>
        <color theme="1"/>
        <rFont val="宋体"/>
        <charset val="134"/>
        <scheme val="minor"/>
      </rPr>
      <t>任务A：价格基准与供应商遴选</t>
    </r>
    <r>
      <rPr>
        <sz val="11"/>
        <color theme="1"/>
        <rFont val="宋体"/>
        <charset val="134"/>
        <scheme val="minor"/>
      </rPr>
      <t>——帐篷、棉被、救生衣、急救物资；</t>
    </r>
  </si>
  <si>
    <r>
      <rPr>
        <b/>
        <sz val="11"/>
        <color theme="1"/>
        <rFont val="宋体"/>
        <charset val="134"/>
        <scheme val="minor"/>
      </rPr>
      <t>任务B：直采价格核验</t>
    </r>
    <r>
      <rPr>
        <sz val="11"/>
        <color theme="1"/>
        <rFont val="宋体"/>
        <charset val="134"/>
        <scheme val="minor"/>
      </rPr>
      <t>——食品、饮用水。</t>
    </r>
  </si>
  <si>
    <r>
      <rPr>
        <sz val="11"/>
        <color theme="1"/>
        <rFont val="宋体"/>
        <charset val="134"/>
        <scheme val="minor"/>
      </rPr>
      <t xml:space="preserve">点击 </t>
    </r>
    <r>
      <rPr>
        <b/>
        <sz val="11"/>
        <color theme="1"/>
        <rFont val="宋体"/>
        <charset val="134"/>
        <scheme val="minor"/>
      </rPr>
      <t>【提交执行】</t>
    </r>
    <r>
      <rPr>
        <sz val="11"/>
        <color theme="1"/>
        <rFont val="宋体"/>
        <charset val="134"/>
        <scheme val="minor"/>
      </rPr>
      <t>，执行岗位选择：</t>
    </r>
    <r>
      <rPr>
        <b/>
        <sz val="11"/>
        <color theme="1"/>
        <rFont val="宋体"/>
        <charset val="134"/>
        <scheme val="minor"/>
      </rPr>
      <t>采购成本保障岗</t>
    </r>
    <r>
      <rPr>
        <sz val="11"/>
        <color theme="1"/>
        <rFont val="宋体"/>
        <charset val="134"/>
        <scheme val="minor"/>
      </rPr>
      <t>。</t>
    </r>
  </si>
  <si>
    <t>系统自动生成《采购需求复核单》，记录：审核人、审核时间、需求数量、采购方式、预算控制状态和流转结果。页面最终显示：</t>
  </si>
  <si>
    <t>“采购需求复核通过，已进入分类采购流程。”</t>
  </si>
  <si>
    <t>任务：审批S2作为供应商</t>
  </si>
  <si>
    <t>HT-2025-001 四类合同物资</t>
  </si>
  <si>
    <t>主供应商：S2｜状态：🟢 已启用</t>
  </si>
  <si>
    <t>综合得分：88.3分</t>
  </si>
  <si>
    <t>执行范围：帐篷、棉被、救生衣、急救包</t>
  </si>
  <si>
    <t>第一备选：S1｜状态：🟡 待命</t>
  </si>
  <si>
    <t>启动条件：S2出现库存不足、交付延迟等履约异常</t>
  </si>
  <si>
    <t>第二备选：S3｜状态：⚪ 兜底待命</t>
  </si>
  <si>
    <t>启动条件：S2、S1均无法满足极端应急保障需求</t>
  </si>
  <si>
    <t>同时旁边单独显示：</t>
  </si>
  <si>
    <t>食品、饮用水：大型商超应急零售/框架协议直采｜不纳入HT-2025-001主合同</t>
  </si>
  <si>
    <t>任务：审批合同采购和生活保障直采方案</t>
  </si>
  <si>
    <t>第一个页面：采购方案审批</t>
  </si>
  <si>
    <t>洪涝应急救援采购方案审批</t>
  </si>
  <si>
    <t>左侧显示：</t>
  </si>
  <si>
    <t>HT-2025-001合同采购</t>
  </si>
  <si>
    <t>主供应商：S2</t>
  </si>
  <si>
    <t>帐篷：500顶</t>
  </si>
  <si>
    <t>棉被：6604床</t>
  </si>
  <si>
    <t>救生衣：468件</t>
  </si>
  <si>
    <t>急救包：324套</t>
  </si>
  <si>
    <t>合同金额：932,460元</t>
  </si>
  <si>
    <t>右侧显示：</t>
  </si>
  <si>
    <t>生活保障应急直采</t>
  </si>
  <si>
    <t>饮用水：629箱</t>
  </si>
  <si>
    <t>食品：1704箱</t>
  </si>
  <si>
    <t>直采金额：149,397.50元</t>
  </si>
  <si>
    <t>采购方式：大型商超应急零售/框架协议直采</t>
  </si>
  <si>
    <t>下方显示：</t>
  </si>
  <si>
    <t>采购预算占用合计：1,081,857.50元</t>
  </si>
  <si>
    <t>审核选项：</t>
  </si>
  <si>
    <t>☑ 采购方式符合要求</t>
  </si>
  <si>
    <t>☑ 未突破C方案预算</t>
  </si>
  <si>
    <t>☑ 主供应商已完成风控审核</t>
  </si>
  <si>
    <t>☑ 生活保障物资已独立设置直采路径</t>
  </si>
  <si>
    <t>按钮：</t>
  </si>
  <si>
    <t>【审批通过】</t>
  </si>
  <si>
    <t>点击后弹窗：</t>
  </si>
  <si>
    <t>审批成功</t>
  </si>
  <si>
    <t>合同采购和生活保障直采方案已批准。</t>
  </si>
  <si>
    <t>第2个页面：采购任务分流</t>
  </si>
  <si>
    <t>审批后系统自动跳转：</t>
  </si>
  <si>
    <t>采购执行任务生成</t>
  </si>
  <si>
    <t>页面做两个大卡片。</t>
  </si>
  <si>
    <t>卡片A：合同采购</t>
  </si>
  <si>
    <t>HT-2025-001</t>
  </si>
  <si>
    <t>物资：帐篷、棉被、救生衣、急救包</t>
  </si>
  <si>
    <t>状态：</t>
  </si>
  <si>
    <t>待启动履约监测</t>
  </si>
  <si>
    <t>要平台视觉上看起来非常清楚：审批以后自动分成两条线。</t>
  </si>
  <si>
    <t>【启动履约监测】</t>
  </si>
  <si>
    <t>卡片B：生活保障直采</t>
  </si>
  <si>
    <t>物资：食品、饮用水</t>
  </si>
  <si>
    <t>方式：应急零售/框架协议直采</t>
  </si>
  <si>
    <t>待建立直采台账</t>
  </si>
  <si>
    <t>【建立直采台账】</t>
  </si>
  <si>
    <t>第3个页面：S2供应商履约动态监测</t>
  </si>
  <si>
    <t>页面标题：</t>
  </si>
  <si>
    <t>HT-2025-001供应商履约监测</t>
  </si>
  <si>
    <t>监测指标</t>
  </si>
  <si>
    <t>合同要求</t>
  </si>
  <si>
    <t>当前状态</t>
  </si>
  <si>
    <t>主供应商</t>
  </si>
  <si>
    <t>🟢 正常</t>
  </si>
  <si>
    <t>帐篷数量</t>
  </si>
  <si>
    <t>500顶</t>
  </si>
  <si>
    <t>待交付</t>
  </si>
  <si>
    <t>棉被数量</t>
  </si>
  <si>
    <t>6604床</t>
  </si>
  <si>
    <t>救生衣数量</t>
  </si>
  <si>
    <t>468件</t>
  </si>
  <si>
    <t>急救包数量</t>
  </si>
  <si>
    <t>324套</t>
  </si>
  <si>
    <t>重点交付时限</t>
  </si>
  <si>
    <t>12小时</t>
  </si>
  <si>
    <t>🟢 监测中</t>
  </si>
  <si>
    <t>供应商库存能力</t>
  </si>
  <si>
    <t>满足合同要求</t>
  </si>
  <si>
    <t>质量状态</t>
  </si>
  <si>
    <t>待验收</t>
  </si>
  <si>
    <t>待更新</t>
  </si>
  <si>
    <t>下方设置：</t>
  </si>
  <si>
    <t>监测频率：动态更新</t>
  </si>
  <si>
    <t>重点网格：甲3、甲6</t>
  </si>
  <si>
    <t>【启动监测】</t>
  </si>
  <si>
    <t>点击后：</t>
  </si>
  <si>
    <t>S2履约动态监测已启动</t>
  </si>
  <si>
    <t>第4个页面：履约预警设置</t>
  </si>
  <si>
    <t>交付时限预警</t>
  </si>
  <si>
    <t>超过12小时未完成重点物资交付 → 🔴预警</t>
  </si>
  <si>
    <t>库存能力预警</t>
  </si>
  <si>
    <t>可供数量低于合同数量 → 🔴预警</t>
  </si>
  <si>
    <t>质量异常预警</t>
  </si>
  <si>
    <t>验收出现规格、外观、防水性能等异常 → 🟡/🔴预警</t>
  </si>
  <si>
    <t>重大变化报告预警</t>
  </si>
  <si>
    <t>供应商发生库存或交付重大变化后1小时内未报告 → 🔴预警</t>
  </si>
  <si>
    <t>【启用规则】</t>
  </si>
  <si>
    <t>第5个页面：食品、饮用水直采台账</t>
  </si>
  <si>
    <t>页面名称：</t>
  </si>
  <si>
    <t>生活保障物资应急直采台账</t>
  </si>
  <si>
    <t>计划数量</t>
  </si>
  <si>
    <t>控制价</t>
  </si>
  <si>
    <t>订单状态</t>
  </si>
  <si>
    <t>收货状态</t>
  </si>
  <si>
    <t>付款状态</t>
  </si>
  <si>
    <t>629箱</t>
  </si>
  <si>
    <t>商超/框架直采</t>
  </si>
  <si>
    <t>待下单</t>
  </si>
  <si>
    <t>待收货</t>
  </si>
  <si>
    <t>待付款</t>
  </si>
  <si>
    <t>1704箱</t>
  </si>
  <si>
    <t>旁边设置资料上传区域：</t>
  </si>
  <si>
    <t>【上传采购审批单】</t>
  </si>
  <si>
    <t>【上传框架协议】</t>
  </si>
  <si>
    <t>【上传订单】</t>
  </si>
  <si>
    <t>【上传销售凭证】</t>
  </si>
  <si>
    <t>【上传收货验收单】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</si>
</sst>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[Red]\(#,##0.00\);\-"/>
    <numFmt numFmtId="177" formatCode="#,##0;[Red]\(#,##0\);\-"/>
  </numFmts>
  <fonts count="59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4.05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4"/>
      <color theme="1"/>
      <name val="宋体"/>
      <charset val="134"/>
    </font>
    <font>
      <sz val="14"/>
      <color rgb="FF000000"/>
      <name val="宋体"/>
      <charset val="134"/>
    </font>
    <font>
      <b/>
      <sz val="11"/>
      <color rgb="FFFFFFFF"/>
      <name val="宋体"/>
      <charset val="134"/>
    </font>
    <font>
      <b/>
      <sz val="11"/>
      <color rgb="FFFFFFFF"/>
      <name val="Carlito"/>
      <charset val="134"/>
    </font>
    <font>
      <b/>
      <sz val="11"/>
      <color rgb="FF17365D"/>
      <name val="Carlito"/>
      <charset val="134"/>
    </font>
    <font>
      <b/>
      <sz val="11"/>
      <color rgb="FF17365D"/>
      <name val="宋体"/>
      <charset val="134"/>
    </font>
    <font>
      <sz val="11"/>
      <name val="Carlito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b/>
      <sz val="11"/>
      <name val="Carlito"/>
      <charset val="134"/>
    </font>
    <font>
      <b/>
      <sz val="11"/>
      <name val="宋体"/>
      <charset val="134"/>
    </font>
    <font>
      <b/>
      <sz val="11"/>
      <color rgb="FF7F6000"/>
      <name val="Carlito"/>
      <charset val="134"/>
    </font>
    <font>
      <b/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5"/>
      <color theme="1"/>
      <name val="宋体"/>
      <charset val="134"/>
    </font>
    <font>
      <sz val="15"/>
      <color theme="1"/>
      <name val="宋体"/>
      <charset val="134"/>
    </font>
    <font>
      <b/>
      <sz val="11"/>
      <color rgb="FF2E6B2E"/>
      <name val="Carlito"/>
      <charset val="134"/>
    </font>
    <font>
      <b/>
      <sz val="18"/>
      <name val="宋体"/>
      <charset val="134"/>
    </font>
    <font>
      <sz val="9.5"/>
      <name val="宋体"/>
      <charset val="134"/>
    </font>
    <font>
      <b/>
      <sz val="9.5"/>
      <name val="宋体"/>
      <charset val="134"/>
    </font>
    <font>
      <sz val="10.5"/>
      <name val="宋体"/>
      <charset val="134"/>
    </font>
    <font>
      <b/>
      <sz val="12"/>
      <name val="宋体"/>
      <charset val="134"/>
    </font>
    <font>
      <b/>
      <sz val="8.5"/>
      <name val="宋体"/>
      <charset val="134"/>
    </font>
    <font>
      <sz val="8.5"/>
      <name val="宋体"/>
      <charset val="134"/>
    </font>
    <font>
      <sz val="9.5"/>
      <name val="Noto Serif CJK SC"/>
      <charset val="134"/>
    </font>
    <font>
      <b/>
      <sz val="8"/>
      <name val="宋体"/>
      <charset val="134"/>
    </font>
    <font>
      <sz val="8"/>
      <name val="Noto Serif CJK SC"/>
      <charset val="134"/>
    </font>
    <font>
      <sz val="8"/>
      <name val="宋体"/>
      <charset val="134"/>
    </font>
    <font>
      <sz val="10.5"/>
      <name val="Noto Serif CJK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name val="Noto Sans CJK SC"/>
      <charset val="134"/>
    </font>
    <font>
      <b/>
      <sz val="12"/>
      <name val="Noto Sans CJK SC"/>
      <charset val="134"/>
    </font>
    <font>
      <u/>
      <sz val="9.5"/>
      <name val="宋体"/>
      <charset val="134"/>
    </font>
    <font>
      <sz val="8.5"/>
      <name val="Noto Serif CJK SC"/>
      <charset val="134"/>
    </font>
    <font>
      <b/>
      <sz val="9.5"/>
      <name val="Noto Sans CJK SC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0" fillId="9" borderId="11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39" fillId="0" borderId="0">
      <alignment vertical="center"/>
    </xf>
    <xf numFmtId="0" fontId="40" fillId="0" borderId="12">
      <alignment vertical="center"/>
    </xf>
    <xf numFmtId="0" fontId="41" fillId="0" borderId="12">
      <alignment vertical="center"/>
    </xf>
    <xf numFmtId="0" fontId="42" fillId="0" borderId="13">
      <alignment vertical="center"/>
    </xf>
    <xf numFmtId="0" fontId="42" fillId="0" borderId="0">
      <alignment vertical="center"/>
    </xf>
    <xf numFmtId="0" fontId="43" fillId="10" borderId="14">
      <alignment vertical="center"/>
    </xf>
    <xf numFmtId="0" fontId="44" fillId="11" borderId="15">
      <alignment vertical="center"/>
    </xf>
    <xf numFmtId="0" fontId="45" fillId="11" borderId="14">
      <alignment vertical="center"/>
    </xf>
    <xf numFmtId="0" fontId="46" fillId="12" borderId="16">
      <alignment vertical="center"/>
    </xf>
    <xf numFmtId="0" fontId="47" fillId="0" borderId="17">
      <alignment vertical="center"/>
    </xf>
    <xf numFmtId="0" fontId="48" fillId="0" borderId="18">
      <alignment vertical="center"/>
    </xf>
    <xf numFmtId="0" fontId="49" fillId="13" borderId="0">
      <alignment vertical="center"/>
    </xf>
    <xf numFmtId="0" fontId="50" fillId="14" borderId="0">
      <alignment vertical="center"/>
    </xf>
    <xf numFmtId="0" fontId="51" fillId="15" borderId="0">
      <alignment vertical="center"/>
    </xf>
    <xf numFmtId="0" fontId="52" fillId="16" borderId="0">
      <alignment vertical="center"/>
    </xf>
    <xf numFmtId="0" fontId="53" fillId="17" borderId="0">
      <alignment vertical="center"/>
    </xf>
    <xf numFmtId="0" fontId="53" fillId="18" borderId="0">
      <alignment vertical="center"/>
    </xf>
    <xf numFmtId="0" fontId="52" fillId="19" borderId="0">
      <alignment vertical="center"/>
    </xf>
    <xf numFmtId="0" fontId="52" fillId="20" borderId="0">
      <alignment vertical="center"/>
    </xf>
    <xf numFmtId="0" fontId="53" fillId="21" borderId="0">
      <alignment vertical="center"/>
    </xf>
    <xf numFmtId="0" fontId="53" fillId="22" borderId="0">
      <alignment vertical="center"/>
    </xf>
    <xf numFmtId="0" fontId="52" fillId="23" borderId="0">
      <alignment vertical="center"/>
    </xf>
    <xf numFmtId="0" fontId="52" fillId="24" borderId="0">
      <alignment vertical="center"/>
    </xf>
    <xf numFmtId="0" fontId="53" fillId="25" borderId="0">
      <alignment vertical="center"/>
    </xf>
    <xf numFmtId="0" fontId="53" fillId="26" borderId="0">
      <alignment vertical="center"/>
    </xf>
    <xf numFmtId="0" fontId="52" fillId="27" borderId="0">
      <alignment vertical="center"/>
    </xf>
    <xf numFmtId="0" fontId="52" fillId="28" borderId="0">
      <alignment vertical="center"/>
    </xf>
    <xf numFmtId="0" fontId="53" fillId="29" borderId="0">
      <alignment vertical="center"/>
    </xf>
    <xf numFmtId="0" fontId="53" fillId="30" borderId="0">
      <alignment vertical="center"/>
    </xf>
    <xf numFmtId="0" fontId="52" fillId="31" borderId="0">
      <alignment vertical="center"/>
    </xf>
    <xf numFmtId="0" fontId="52" fillId="32" borderId="0">
      <alignment vertical="center"/>
    </xf>
    <xf numFmtId="0" fontId="53" fillId="33" borderId="0">
      <alignment vertical="center"/>
    </xf>
    <xf numFmtId="0" fontId="53" fillId="34" borderId="0">
      <alignment vertical="center"/>
    </xf>
    <xf numFmtId="0" fontId="52" fillId="35" borderId="0">
      <alignment vertical="center"/>
    </xf>
    <xf numFmtId="0" fontId="52" fillId="36" borderId="0">
      <alignment vertical="center"/>
    </xf>
    <xf numFmtId="0" fontId="53" fillId="37" borderId="0">
      <alignment vertical="center"/>
    </xf>
    <xf numFmtId="0" fontId="53" fillId="38" borderId="0">
      <alignment vertical="center"/>
    </xf>
    <xf numFmtId="0" fontId="52" fillId="39" borderId="0">
      <alignment vertical="center"/>
    </xf>
    <xf numFmtId="0" fontId="12" fillId="0" borderId="0"/>
  </cellStyleXfs>
  <cellXfs count="132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0" xfId="0" applyFill="1">
      <alignment vertical="center"/>
    </xf>
    <xf numFmtId="0" fontId="2" fillId="0" borderId="0" xfId="0" applyFont="1" applyAlignment="1">
      <alignment horizontal="left" vertical="center" indent="1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1" xfId="3" applyNumberFormat="1" applyFill="1" applyBorder="1" applyAlignment="1">
      <alignment horizontal="center" vertical="center"/>
    </xf>
    <xf numFmtId="10" fontId="0" fillId="3" borderId="0" xfId="3" applyNumberFormat="1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indent="2"/>
    </xf>
    <xf numFmtId="0" fontId="8" fillId="5" borderId="0" xfId="49" applyNumberFormat="1" applyFont="1" applyFill="1" applyBorder="1" applyAlignment="1">
      <alignment horizontal="center" vertical="center" wrapText="1"/>
    </xf>
    <xf numFmtId="0" fontId="9" fillId="5" borderId="0" xfId="49" applyNumberFormat="1" applyFont="1" applyFill="1" applyBorder="1" applyAlignment="1">
      <alignment horizontal="center" vertical="center" wrapText="1"/>
    </xf>
    <xf numFmtId="0" fontId="10" fillId="6" borderId="1" xfId="49" applyNumberFormat="1" applyFont="1" applyFill="1" applyBorder="1" applyAlignment="1">
      <alignment horizontal="center" vertical="center" wrapText="1"/>
    </xf>
    <xf numFmtId="0" fontId="11" fillId="6" borderId="1" xfId="49" applyNumberFormat="1" applyFont="1" applyFill="1" applyBorder="1" applyAlignment="1">
      <alignment horizontal="center" vertical="center" wrapText="1"/>
    </xf>
    <xf numFmtId="0" fontId="12" fillId="0" borderId="1" xfId="49" applyNumberFormat="1" applyFont="1" applyFill="1" applyBorder="1" applyAlignment="1">
      <alignment horizontal="center" vertical="center" wrapText="1"/>
    </xf>
    <xf numFmtId="176" fontId="12" fillId="0" borderId="1" xfId="49" applyNumberFormat="1" applyFont="1" applyFill="1" applyBorder="1" applyAlignment="1">
      <alignment horizontal="center" vertical="center" wrapText="1"/>
    </xf>
    <xf numFmtId="0" fontId="13" fillId="0" borderId="1" xfId="49" applyNumberFormat="1" applyFont="1" applyFill="1" applyBorder="1" applyAlignment="1">
      <alignment horizontal="center" vertical="center" wrapText="1"/>
    </xf>
    <xf numFmtId="0" fontId="12" fillId="0" borderId="1" xfId="49" applyBorder="1" applyAlignment="1">
      <alignment wrapText="1"/>
    </xf>
    <xf numFmtId="176" fontId="12" fillId="3" borderId="1" xfId="49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77" fontId="12" fillId="0" borderId="1" xfId="49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77" fontId="15" fillId="3" borderId="1" xfId="49" applyNumberFormat="1" applyFont="1" applyFill="1" applyBorder="1" applyAlignment="1">
      <alignment horizontal="center" vertical="center" wrapText="1"/>
    </xf>
    <xf numFmtId="0" fontId="8" fillId="5" borderId="0" xfId="49" applyNumberFormat="1" applyFont="1" applyFill="1" applyAlignment="1">
      <alignment horizontal="center" vertical="center" wrapText="1"/>
    </xf>
    <xf numFmtId="177" fontId="12" fillId="3" borderId="1" xfId="49" applyNumberFormat="1" applyFont="1" applyFill="1" applyBorder="1" applyAlignment="1">
      <alignment horizontal="center" vertical="center" wrapText="1"/>
    </xf>
    <xf numFmtId="0" fontId="16" fillId="7" borderId="1" xfId="49" applyNumberFormat="1" applyFont="1" applyFill="1" applyBorder="1" applyAlignment="1">
      <alignment horizontal="center" vertical="center" wrapText="1"/>
    </xf>
    <xf numFmtId="177" fontId="15" fillId="7" borderId="1" xfId="49" applyNumberFormat="1" applyFont="1" applyFill="1" applyBorder="1" applyAlignment="1">
      <alignment horizontal="center" vertical="center" wrapText="1"/>
    </xf>
    <xf numFmtId="0" fontId="15" fillId="7" borderId="1" xfId="49" applyNumberFormat="1" applyFont="1" applyFill="1" applyBorder="1" applyAlignment="1">
      <alignment horizontal="center" vertical="center" wrapText="1"/>
    </xf>
    <xf numFmtId="176" fontId="15" fillId="7" borderId="1" xfId="49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2" fillId="3" borderId="1" xfId="49" applyNumberFormat="1" applyFont="1" applyFill="1" applyBorder="1" applyAlignment="1">
      <alignment horizontal="center" vertical="center" wrapText="1"/>
    </xf>
    <xf numFmtId="0" fontId="13" fillId="3" borderId="1" xfId="49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7" fillId="0" borderId="1" xfId="49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2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0" xfId="0" applyFont="1" applyAlignment="1">
      <alignment vertical="center"/>
    </xf>
    <xf numFmtId="0" fontId="0" fillId="8" borderId="0" xfId="0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 indent="2"/>
    </xf>
    <xf numFmtId="0" fontId="21" fillId="0" borderId="0" xfId="0" applyFont="1" applyAlignment="1">
      <alignment horizontal="left" vertical="center" indent="2"/>
    </xf>
    <xf numFmtId="0" fontId="16" fillId="0" borderId="1" xfId="49" applyNumberFormat="1" applyFont="1" applyFill="1" applyBorder="1" applyAlignment="1">
      <alignment horizontal="center" vertical="center" wrapText="1"/>
    </xf>
    <xf numFmtId="0" fontId="13" fillId="0" borderId="1" xfId="49" applyNumberFormat="1" applyFont="1" applyFill="1" applyBorder="1" applyAlignment="1">
      <alignment horizontal="center" vertical="center" wrapText="1"/>
    </xf>
    <xf numFmtId="9" fontId="12" fillId="0" borderId="1" xfId="49" applyNumberFormat="1" applyFont="1" applyFill="1" applyBorder="1" applyAlignment="1">
      <alignment horizontal="center" vertical="center" wrapText="1"/>
    </xf>
    <xf numFmtId="9" fontId="12" fillId="0" borderId="1" xfId="49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2" fillId="0" borderId="1" xfId="49" applyNumberFormat="1" applyFont="1" applyFill="1" applyBorder="1" applyAlignment="1">
      <alignment horizontal="center" vertical="center" wrapText="1"/>
    </xf>
    <xf numFmtId="0" fontId="12" fillId="0" borderId="1" xfId="49" applyNumberFormat="1" applyFont="1" applyFill="1" applyBorder="1" applyAlignment="1">
      <alignment horizontal="center" vertical="center" wrapText="1"/>
    </xf>
    <xf numFmtId="0" fontId="8" fillId="5" borderId="1" xfId="49" applyNumberFormat="1" applyFont="1" applyFill="1" applyBorder="1" applyAlignment="1">
      <alignment horizontal="center" vertical="center" wrapText="1"/>
    </xf>
    <xf numFmtId="0" fontId="9" fillId="5" borderId="1" xfId="49" applyNumberFormat="1" applyFont="1" applyFill="1" applyBorder="1" applyAlignment="1">
      <alignment horizontal="center" vertical="center" wrapText="1"/>
    </xf>
    <xf numFmtId="2" fontId="12" fillId="3" borderId="1" xfId="49" applyNumberFormat="1" applyFont="1" applyFill="1" applyBorder="1" applyAlignment="1">
      <alignment horizontal="center" vertical="center" wrapText="1"/>
    </xf>
    <xf numFmtId="2" fontId="12" fillId="0" borderId="1" xfId="49" applyNumberFormat="1" applyFont="1" applyFill="1" applyBorder="1" applyAlignment="1">
      <alignment horizontal="center" vertical="center" wrapText="1"/>
    </xf>
    <xf numFmtId="0" fontId="22" fillId="0" borderId="1" xfId="49" applyNumberFormat="1" applyFont="1" applyFill="1" applyBorder="1" applyAlignment="1">
      <alignment horizontal="center" vertical="center" wrapText="1"/>
    </xf>
    <xf numFmtId="0" fontId="22" fillId="3" borderId="1" xfId="49" applyNumberFormat="1" applyFont="1" applyFill="1" applyBorder="1" applyAlignment="1">
      <alignment horizontal="center" vertical="center" wrapText="1"/>
    </xf>
    <xf numFmtId="0" fontId="13" fillId="0" borderId="1" xfId="49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indent="2"/>
    </xf>
    <xf numFmtId="0" fontId="23" fillId="8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14" fillId="8" borderId="0" xfId="0" applyFont="1" applyFill="1" applyAlignment="1">
      <alignment vertical="center" wrapText="1"/>
    </xf>
    <xf numFmtId="0" fontId="24" fillId="8" borderId="0" xfId="0" applyFont="1" applyFill="1" applyAlignment="1">
      <alignment horizontal="left" vertical="center"/>
    </xf>
    <xf numFmtId="0" fontId="25" fillId="8" borderId="0" xfId="0" applyFont="1" applyFill="1" applyBorder="1" applyAlignment="1">
      <alignment horizontal="right" vertical="center"/>
    </xf>
    <xf numFmtId="0" fontId="26" fillId="8" borderId="0" xfId="0" applyFont="1" applyFill="1" applyBorder="1" applyAlignment="1">
      <alignment horizontal="left" vertical="center" wrapText="1"/>
    </xf>
    <xf numFmtId="0" fontId="26" fillId="8" borderId="0" xfId="0" applyFont="1" applyFill="1" applyAlignment="1">
      <alignment horizontal="left" vertical="center" wrapText="1"/>
    </xf>
    <xf numFmtId="0" fontId="25" fillId="8" borderId="0" xfId="0" applyFont="1" applyFill="1" applyBorder="1" applyAlignment="1">
      <alignment horizontal="right" vertical="center"/>
    </xf>
    <xf numFmtId="0" fontId="26" fillId="8" borderId="0" xfId="0" applyFont="1" applyFill="1" applyAlignment="1">
      <alignment horizontal="left" vertical="center"/>
    </xf>
    <xf numFmtId="0" fontId="27" fillId="8" borderId="0" xfId="0" applyFont="1" applyFill="1" applyAlignment="1">
      <alignment horizontal="left" vertical="center"/>
    </xf>
    <xf numFmtId="0" fontId="28" fillId="8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4" fontId="28" fillId="3" borderId="1" xfId="0" applyNumberFormat="1" applyFont="1" applyFill="1" applyBorder="1" applyAlignment="1">
      <alignment horizontal="center" vertical="center" wrapText="1"/>
    </xf>
    <xf numFmtId="0" fontId="28" fillId="8" borderId="2" xfId="0" applyFont="1" applyFill="1" applyBorder="1" applyAlignment="1">
      <alignment horizontal="center" vertical="center" wrapText="1"/>
    </xf>
    <xf numFmtId="0" fontId="28" fillId="8" borderId="3" xfId="0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left" vertical="center"/>
    </xf>
    <xf numFmtId="0" fontId="14" fillId="8" borderId="3" xfId="0" applyFont="1" applyFill="1" applyBorder="1" applyAlignment="1">
      <alignment horizontal="left" vertical="center"/>
    </xf>
    <xf numFmtId="0" fontId="14" fillId="8" borderId="4" xfId="0" applyFont="1" applyFill="1" applyBorder="1" applyAlignment="1">
      <alignment horizontal="left" vertical="center"/>
    </xf>
    <xf numFmtId="0" fontId="28" fillId="8" borderId="5" xfId="0" applyFont="1" applyFill="1" applyBorder="1" applyAlignment="1">
      <alignment horizontal="center" vertical="center" wrapText="1"/>
    </xf>
    <xf numFmtId="0" fontId="29" fillId="8" borderId="6" xfId="0" applyFont="1" applyFill="1" applyBorder="1" applyAlignment="1">
      <alignment horizontal="center" vertical="center" wrapText="1"/>
    </xf>
    <xf numFmtId="0" fontId="24" fillId="8" borderId="5" xfId="0" applyFont="1" applyFill="1" applyBorder="1" applyAlignment="1">
      <alignment horizontal="left" vertical="center" wrapText="1"/>
    </xf>
    <xf numFmtId="0" fontId="24" fillId="8" borderId="6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0" fillId="8" borderId="0" xfId="0" applyFill="1" applyAlignment="1">
      <alignment vertical="center" wrapText="1"/>
    </xf>
    <xf numFmtId="0" fontId="25" fillId="8" borderId="0" xfId="0" applyFont="1" applyFill="1" applyBorder="1" applyAlignment="1">
      <alignment horizontal="left" vertical="center" wrapText="1"/>
    </xf>
    <xf numFmtId="0" fontId="30" fillId="8" borderId="0" xfId="0" applyFont="1" applyFill="1" applyBorder="1" applyAlignment="1">
      <alignment horizontal="left" vertical="center" wrapText="1"/>
    </xf>
    <xf numFmtId="0" fontId="30" fillId="8" borderId="0" xfId="0" applyFont="1" applyFill="1" applyBorder="1" applyAlignment="1">
      <alignment horizontal="left" vertical="center" wrapText="1"/>
    </xf>
    <xf numFmtId="0" fontId="25" fillId="8" borderId="0" xfId="0" applyFont="1" applyFill="1" applyBorder="1" applyAlignment="1">
      <alignment horizontal="left" vertical="center" wrapText="1"/>
    </xf>
    <xf numFmtId="0" fontId="24" fillId="8" borderId="0" xfId="0" applyFont="1" applyFill="1" applyBorder="1" applyAlignment="1">
      <alignment horizontal="left" vertical="center" wrapText="1"/>
    </xf>
    <xf numFmtId="0" fontId="14" fillId="8" borderId="0" xfId="0" applyFont="1" applyFill="1" applyBorder="1" applyAlignment="1">
      <alignment horizontal="left" vertical="center"/>
    </xf>
    <xf numFmtId="0" fontId="31" fillId="8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4" fontId="32" fillId="3" borderId="1" xfId="0" applyNumberFormat="1" applyFont="1" applyFill="1" applyBorder="1" applyAlignment="1">
      <alignment horizontal="center" vertical="center" wrapText="1"/>
    </xf>
    <xf numFmtId="0" fontId="33" fillId="8" borderId="7" xfId="0" applyFont="1" applyFill="1" applyBorder="1" applyAlignment="1">
      <alignment horizontal="center" vertical="center" wrapText="1"/>
    </xf>
    <xf numFmtId="0" fontId="33" fillId="8" borderId="8" xfId="0" applyFont="1" applyFill="1" applyBorder="1" applyAlignment="1">
      <alignment horizontal="center" vertical="center" wrapText="1"/>
    </xf>
    <xf numFmtId="0" fontId="33" fillId="8" borderId="9" xfId="0" applyFont="1" applyFill="1" applyBorder="1" applyAlignment="1">
      <alignment horizontal="center" vertical="center" wrapText="1"/>
    </xf>
    <xf numFmtId="4" fontId="32" fillId="3" borderId="10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34" fillId="8" borderId="0" xfId="0" applyFont="1" applyFill="1" applyAlignment="1">
      <alignment horizontal="left" vertical="center"/>
    </xf>
    <xf numFmtId="0" fontId="29" fillId="8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indent="2"/>
    </xf>
    <xf numFmtId="0" fontId="2" fillId="4" borderId="1" xfId="0" applyFont="1" applyFill="1" applyBorder="1" applyAlignment="1">
      <alignment horizontal="center" vertical="center" wrapText="1"/>
    </xf>
    <xf numFmtId="10" fontId="2" fillId="4" borderId="1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净采购量对比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val>
            <c:numRef>
              <c:f>采购成本保障岗!$C$32:$C$37</c:f>
              <c:numCache>
                <c:formatCode>#,##0;[Red]\(#,##0\);\-</c:formatCode>
                <c:ptCount val="6"/>
                <c:pt idx="0">
                  <c:v>500</c:v>
                </c:pt>
                <c:pt idx="1">
                  <c:v>7004</c:v>
                </c:pt>
                <c:pt idx="2">
                  <c:v>548</c:v>
                </c:pt>
                <c:pt idx="3">
                  <c:v>384</c:v>
                </c:pt>
                <c:pt idx="4">
                  <c:v>1329</c:v>
                </c:pt>
                <c:pt idx="5">
                  <c:v>2104</c:v>
                </c:pt>
              </c:numCache>
            </c:numRef>
          </c:val>
        </c:ser>
        <c:ser>
          <c:idx val="1"/>
          <c:order val="1"/>
          <c:invertIfNegative val="0"/>
          <c:dLbls>
            <c:delete val="1"/>
          </c:dLbls>
          <c:val>
            <c:numRef>
              <c:f>采购成本保障岗!$D$32:$D$37</c:f>
              <c:numCache>
                <c:formatCode>#,##0;[Red]\(#,##0\);\-</c:formatCode>
                <c:ptCount val="6"/>
                <c:pt idx="0">
                  <c:v>0</c:v>
                </c:pt>
                <c:pt idx="1">
                  <c:v>300</c:v>
                </c:pt>
                <c:pt idx="2">
                  <c:v>80</c:v>
                </c:pt>
                <c:pt idx="3">
                  <c:v>60</c:v>
                </c:pt>
                <c:pt idx="4">
                  <c:v>400</c:v>
                </c:pt>
                <c:pt idx="5">
                  <c:v>200</c:v>
                </c:pt>
              </c:numCache>
            </c:numRef>
          </c:val>
        </c:ser>
        <c:ser>
          <c:idx val="2"/>
          <c:order val="2"/>
          <c:invertIfNegative val="0"/>
          <c:dLbls>
            <c:delete val="1"/>
          </c:dLbls>
          <c:val>
            <c:numRef>
              <c:f>采购成本保障岗!$E$32:$E$37</c:f>
              <c:numCache>
                <c:formatCode>#,##0;[Red]\(#,##0\);\-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50</c:v>
                </c:pt>
              </c:numCache>
            </c:numRef>
          </c:val>
        </c:ser>
        <c:ser>
          <c:idx val="3"/>
          <c:order val="3"/>
          <c:invertIfNegative val="0"/>
          <c:dLbls>
            <c:delete val="1"/>
          </c:dLbls>
          <c:val>
            <c:numRef>
              <c:f>采购成本保障岗!$F$32:$F$37</c:f>
              <c:numCache>
                <c:formatCode>#,##0;[Red]\(#,##0\);\-</c:formatCode>
                <c:ptCount val="6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200</c:v>
                </c:pt>
                <c:pt idx="5">
                  <c:v>150</c:v>
                </c:pt>
              </c:numCache>
            </c:numRef>
          </c:val>
        </c:ser>
        <c:ser>
          <c:idx val="4"/>
          <c:order val="4"/>
          <c:invertIfNegative val="0"/>
          <c:dLbls>
            <c:delete val="1"/>
          </c:dLbls>
          <c:val>
            <c:numRef>
              <c:f>采购成本保障岗!$G$32:$G$37</c:f>
              <c:numCache>
                <c:formatCode>#,##0;[Red]\(#,##0\);\-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invertIfNegative val="0"/>
          <c:dLbls>
            <c:delete val="1"/>
          </c:dLbls>
          <c:val>
            <c:numRef>
              <c:f>采购成本保障岗!$H$32:$H$37</c:f>
              <c:numCache>
                <c:formatCode>#,##0;[Red]\(#,##0\);\-</c:formatCode>
                <c:ptCount val="6"/>
                <c:pt idx="0">
                  <c:v>500</c:v>
                </c:pt>
                <c:pt idx="1">
                  <c:v>6604</c:v>
                </c:pt>
                <c:pt idx="2">
                  <c:v>468</c:v>
                </c:pt>
                <c:pt idx="3">
                  <c:v>324</c:v>
                </c:pt>
                <c:pt idx="4">
                  <c:v>629</c:v>
                </c:pt>
                <c:pt idx="5">
                  <c:v>1704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CCCCC"/>
              </a:solidFill>
              <a:prstDash val="dash"/>
              <a:round/>
            </a:ln>
          </c:spPr>
        </c:majorGridlines>
        <c:numFmt formatCode="#,##0;[Red]\(#,##0\);\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4dc804-a65a-45bd-b73d-134c89a89de9}"/>
      </c:ext>
    </c:extLst>
  </c:chart>
  <c:spPr>
    <a:ln w="9525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476250</xdr:colOff>
      <xdr:row>70</xdr:row>
      <xdr:rowOff>247650</xdr:rowOff>
    </xdr:from>
    <xdr:to>
      <xdr:col>9</xdr:col>
      <xdr:colOff>895350</xdr:colOff>
      <xdr:row>71</xdr:row>
      <xdr:rowOff>95250</xdr:rowOff>
    </xdr:to>
    <xdr:cxnSp>
      <xdr:nvCxnSpPr>
        <xdr:cNvPr id="2" name="直接箭头连接符 1"/>
        <xdr:cNvCxnSpPr/>
      </xdr:nvCxnSpPr>
      <xdr:spPr>
        <a:xfrm flipH="1">
          <a:off x="2476500" y="15170150"/>
          <a:ext cx="10487025" cy="3810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539750</xdr:colOff>
      <xdr:row>70</xdr:row>
      <xdr:rowOff>387350</xdr:rowOff>
    </xdr:from>
    <xdr:to>
      <xdr:col>10</xdr:col>
      <xdr:colOff>196850</xdr:colOff>
      <xdr:row>71</xdr:row>
      <xdr:rowOff>165100</xdr:rowOff>
    </xdr:to>
    <xdr:cxnSp>
      <xdr:nvCxnSpPr>
        <xdr:cNvPr id="3" name="直接箭头连接符 2"/>
        <xdr:cNvCxnSpPr/>
      </xdr:nvCxnSpPr>
      <xdr:spPr>
        <a:xfrm flipH="1">
          <a:off x="9201785" y="15309850"/>
          <a:ext cx="4009390" cy="3111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495300</xdr:colOff>
      <xdr:row>70</xdr:row>
      <xdr:rowOff>311150</xdr:rowOff>
    </xdr:from>
    <xdr:to>
      <xdr:col>10</xdr:col>
      <xdr:colOff>209550</xdr:colOff>
      <xdr:row>71</xdr:row>
      <xdr:rowOff>152400</xdr:rowOff>
    </xdr:to>
    <xdr:cxnSp>
      <xdr:nvCxnSpPr>
        <xdr:cNvPr id="4" name="直接箭头连接符 3"/>
        <xdr:cNvCxnSpPr/>
      </xdr:nvCxnSpPr>
      <xdr:spPr>
        <a:xfrm flipH="1">
          <a:off x="3436620" y="15233650"/>
          <a:ext cx="9787255" cy="3746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39</xdr:row>
      <xdr:rowOff>0</xdr:rowOff>
    </xdr:from>
    <xdr:to>
      <xdr:col>10</xdr:col>
      <xdr:colOff>203200</xdr:colOff>
      <xdr:row>58</xdr:row>
      <xdr:rowOff>114300</xdr:rowOff>
    </xdr:to>
    <xdr:graphicFrame>
      <xdr:nvGraphicFramePr>
        <xdr:cNvPr id="9" name="Chart"/>
        <xdr:cNvGraphicFramePr/>
      </xdr:nvGraphicFramePr>
      <xdr:xfrm>
        <a:off x="628650" y="9099550"/>
        <a:ext cx="12588875" cy="3492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320040</xdr:colOff>
      <xdr:row>96</xdr:row>
      <xdr:rowOff>192405</xdr:rowOff>
    </xdr:from>
    <xdr:to>
      <xdr:col>4</xdr:col>
      <xdr:colOff>111125</xdr:colOff>
      <xdr:row>98</xdr:row>
      <xdr:rowOff>147955</xdr:rowOff>
    </xdr:to>
    <xdr:cxnSp>
      <xdr:nvCxnSpPr>
        <xdr:cNvPr id="5" name="直接箭头连接符 4"/>
        <xdr:cNvCxnSpPr/>
      </xdr:nvCxnSpPr>
      <xdr:spPr>
        <a:xfrm flipH="1">
          <a:off x="2320290" y="21604605"/>
          <a:ext cx="2077085" cy="4000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507365</xdr:colOff>
      <xdr:row>113</xdr:row>
      <xdr:rowOff>71120</xdr:rowOff>
    </xdr:from>
    <xdr:to>
      <xdr:col>4</xdr:col>
      <xdr:colOff>448310</xdr:colOff>
      <xdr:row>121</xdr:row>
      <xdr:rowOff>61595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48685" y="27776170"/>
          <a:ext cx="1285875" cy="1457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895350</xdr:colOff>
      <xdr:row>181</xdr:row>
      <xdr:rowOff>208280</xdr:rowOff>
    </xdr:from>
    <xdr:to>
      <xdr:col>8</xdr:col>
      <xdr:colOff>1179195</xdr:colOff>
      <xdr:row>200</xdr:row>
      <xdr:rowOff>245110</xdr:rowOff>
    </xdr:to>
    <xdr:cxnSp>
      <xdr:nvCxnSpPr>
        <xdr:cNvPr id="8" name="直接箭头连接符 7"/>
        <xdr:cNvCxnSpPr/>
      </xdr:nvCxnSpPr>
      <xdr:spPr>
        <a:xfrm flipH="1">
          <a:off x="10505440" y="40759380"/>
          <a:ext cx="1270000" cy="3811905"/>
        </a:xfrm>
        <a:prstGeom prst="straightConnector1">
          <a:avLst/>
        </a:prstGeom>
        <a:ln w="31750" cap="rnd">
          <a:solidFill>
            <a:schemeClr val="accent1"/>
          </a:solidFill>
          <a:round/>
          <a:tailEnd type="arrow" w="med" len="med"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364"/>
  <sheetViews>
    <sheetView tabSelected="1" zoomScale="85" zoomScaleNormal="85" workbookViewId="0">
      <selection activeCell="D3" sqref="D3"/>
    </sheetView>
  </sheetViews>
  <sheetFormatPr defaultColWidth="9" defaultRowHeight="14"/>
  <cols>
    <col min="1" max="1" width="9" style="26"/>
    <col min="2" max="2" width="19.6363636363636" style="26" customWidth="1"/>
    <col min="3" max="3" width="13.4727272727273" style="26" customWidth="1"/>
    <col min="4" max="4" width="19.2545454545455" style="26" customWidth="1"/>
    <col min="5" max="5" width="35.2727272727273" style="26" customWidth="1"/>
    <col min="6" max="6" width="27.3727272727273" style="26" customWidth="1"/>
    <col min="7" max="7" width="13.5727272727273" style="26" customWidth="1"/>
    <col min="8" max="8" width="14.1181818181818" style="26" customWidth="1"/>
    <col min="9" max="9" width="21.0727272727273" style="26" customWidth="1"/>
    <col min="10" max="10" width="13.5454545454545" style="26" customWidth="1"/>
    <col min="11" max="11" width="15.4" style="26" customWidth="1"/>
    <col min="12" max="12" width="9" style="26"/>
    <col min="13" max="13" width="18" style="26" customWidth="1"/>
    <col min="14" max="16384" width="9" style="26"/>
  </cols>
  <sheetData>
    <row r="2" ht="17.5" spans="1:6">
      <c r="A2" s="27" t="s">
        <v>0</v>
      </c>
    </row>
    <row r="3" ht="17.5" spans="1:6">
      <c r="A3" s="27"/>
    </row>
    <row r="4" ht="17.5" spans="1:6">
      <c r="A4" s="28" t="s">
        <v>1</v>
      </c>
    </row>
    <row r="5" ht="17.5" spans="1:6">
      <c r="A5" s="29" t="s">
        <v>2</v>
      </c>
    </row>
    <row r="6" ht="17.5" spans="1:6">
      <c r="A6" s="28" t="s">
        <v>3</v>
      </c>
    </row>
    <row r="7" ht="17.5" spans="1:6">
      <c r="A7" s="29" t="s">
        <v>2</v>
      </c>
    </row>
    <row r="8" ht="17.5" spans="1:6">
      <c r="A8" s="28" t="s">
        <v>4</v>
      </c>
    </row>
    <row r="9" ht="17.5" spans="1:6">
      <c r="A9" s="28" t="s">
        <v>5</v>
      </c>
    </row>
    <row r="10" ht="17.5" spans="1:6">
      <c r="A10" s="28"/>
    </row>
    <row r="11" ht="28" customHeight="1" spans="1:6">
      <c r="B11" s="30" t="s">
        <v>6</v>
      </c>
      <c r="C11" s="31"/>
      <c r="D11" s="31"/>
      <c r="E11" s="31"/>
      <c r="F11" s="31"/>
    </row>
    <row r="12" spans="1:6">
      <c r="B12" s="32" t="s">
        <v>7</v>
      </c>
      <c r="C12" s="32" t="s">
        <v>8</v>
      </c>
      <c r="D12" s="32" t="s">
        <v>9</v>
      </c>
      <c r="E12" s="33" t="s">
        <v>10</v>
      </c>
      <c r="F12" s="32" t="s">
        <v>11</v>
      </c>
    </row>
    <row r="13" spans="1:6">
      <c r="B13" s="34" t="s">
        <v>12</v>
      </c>
      <c r="C13" s="35">
        <v>8100</v>
      </c>
      <c r="D13" s="36" t="s">
        <v>13</v>
      </c>
      <c r="E13" s="36" t="s">
        <v>14</v>
      </c>
      <c r="F13" s="37"/>
    </row>
    <row r="14" spans="1:6">
      <c r="B14" s="36" t="s">
        <v>15</v>
      </c>
      <c r="C14" s="38">
        <v>6100</v>
      </c>
      <c r="D14" s="36" t="s">
        <v>13</v>
      </c>
      <c r="E14" s="36" t="s">
        <v>16</v>
      </c>
      <c r="F14" s="37"/>
    </row>
    <row r="15" spans="1:6">
      <c r="B15" s="36" t="s">
        <v>17</v>
      </c>
      <c r="C15" s="38">
        <f>C13-C14</f>
        <v>2000</v>
      </c>
      <c r="D15" s="36" t="s">
        <v>13</v>
      </c>
      <c r="E15" s="36" t="s">
        <v>18</v>
      </c>
      <c r="F15" s="37"/>
    </row>
    <row r="16" spans="1:6">
      <c r="B16" s="36" t="s">
        <v>19</v>
      </c>
      <c r="C16" s="35">
        <v>4</v>
      </c>
      <c r="D16" s="36" t="s">
        <v>20</v>
      </c>
      <c r="E16" s="36" t="s">
        <v>21</v>
      </c>
      <c r="F16" s="37"/>
    </row>
    <row r="17" spans="1:13">
      <c r="B17" s="36" t="s">
        <v>22</v>
      </c>
      <c r="C17" s="38">
        <f>C15/C16</f>
        <v>500</v>
      </c>
      <c r="D17" s="36" t="s">
        <v>23</v>
      </c>
      <c r="E17" s="36" t="s">
        <v>24</v>
      </c>
      <c r="F17" s="36"/>
    </row>
    <row r="20" ht="17.5" spans="1:13">
      <c r="A20" s="27" t="s">
        <v>25</v>
      </c>
    </row>
    <row r="21" ht="17.5" spans="1:13">
      <c r="B21" s="39" t="s">
        <v>26</v>
      </c>
    </row>
    <row r="22" ht="17.5" spans="1:13">
      <c r="B22" s="39"/>
    </row>
    <row r="23" ht="27" customHeight="1" spans="1:13">
      <c r="B23" s="30" t="s">
        <v>27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ht="41" customHeight="1" spans="1:13">
      <c r="B24" s="33" t="s">
        <v>28</v>
      </c>
      <c r="C24" s="32" t="s">
        <v>29</v>
      </c>
      <c r="D24" s="32" t="s">
        <v>30</v>
      </c>
      <c r="E24" s="32" t="s">
        <v>31</v>
      </c>
      <c r="F24" s="32" t="s">
        <v>32</v>
      </c>
      <c r="G24" s="32" t="s">
        <v>33</v>
      </c>
      <c r="H24" s="32" t="s">
        <v>34</v>
      </c>
      <c r="I24" s="32" t="s">
        <v>35</v>
      </c>
      <c r="J24" s="32" t="s">
        <v>36</v>
      </c>
      <c r="K24" s="32" t="s">
        <v>37</v>
      </c>
      <c r="L24" s="32" t="s">
        <v>38</v>
      </c>
      <c r="M24" s="32" t="s">
        <v>10</v>
      </c>
    </row>
    <row r="25" ht="56" spans="1:13">
      <c r="B25" s="34" t="s">
        <v>39</v>
      </c>
      <c r="C25" s="40">
        <f>C15</f>
        <v>2000</v>
      </c>
      <c r="D25" s="40">
        <f>C16</f>
        <v>4</v>
      </c>
      <c r="E25" s="40">
        <f>ROUNDUP(C25/D25,0)</f>
        <v>500</v>
      </c>
      <c r="F25" s="40">
        <v>120</v>
      </c>
      <c r="G25" s="40">
        <v>50</v>
      </c>
      <c r="H25" s="40">
        <f>F25+G25</f>
        <v>170</v>
      </c>
      <c r="I25" s="41">
        <v>0</v>
      </c>
      <c r="J25" s="41">
        <v>0</v>
      </c>
      <c r="K25" s="41">
        <v>0</v>
      </c>
      <c r="L25" s="42">
        <f>E25-I25-J25-K25</f>
        <v>500</v>
      </c>
      <c r="M25" s="36" t="s">
        <v>40</v>
      </c>
    </row>
    <row r="28" ht="17.5" spans="1:13">
      <c r="A28" s="27" t="s">
        <v>41</v>
      </c>
    </row>
    <row r="30" ht="29" customHeight="1" spans="1:13">
      <c r="B30" s="43" t="s">
        <v>42</v>
      </c>
      <c r="C30" s="43"/>
      <c r="D30" s="43"/>
      <c r="E30" s="43"/>
      <c r="F30" s="43"/>
      <c r="G30" s="43"/>
      <c r="H30" s="43"/>
      <c r="I30" s="43"/>
      <c r="J30" s="43"/>
    </row>
    <row r="31" ht="28" spans="1:13">
      <c r="B31" s="32" t="s">
        <v>43</v>
      </c>
      <c r="C31" s="32" t="s">
        <v>44</v>
      </c>
      <c r="D31" s="32" t="s">
        <v>45</v>
      </c>
      <c r="E31" s="32" t="s">
        <v>46</v>
      </c>
      <c r="F31" s="32" t="s">
        <v>37</v>
      </c>
      <c r="G31" s="32" t="s">
        <v>47</v>
      </c>
      <c r="H31" s="32" t="s">
        <v>48</v>
      </c>
      <c r="I31" s="32" t="s">
        <v>49</v>
      </c>
      <c r="J31" s="32" t="s">
        <v>50</v>
      </c>
    </row>
    <row r="32" spans="1:13">
      <c r="B32" s="36" t="s">
        <v>51</v>
      </c>
      <c r="C32" s="40">
        <v>500</v>
      </c>
      <c r="D32" s="40">
        <v>0</v>
      </c>
      <c r="E32" s="40">
        <v>0</v>
      </c>
      <c r="F32" s="40">
        <v>0</v>
      </c>
      <c r="G32" s="40">
        <v>0</v>
      </c>
      <c r="H32" s="44">
        <f>MAX(0,C32-D32-E32-F32-G32)</f>
        <v>500</v>
      </c>
      <c r="I32" s="35">
        <v>850</v>
      </c>
      <c r="J32" s="38">
        <f>H32*I32</f>
        <v>425000</v>
      </c>
    </row>
    <row r="33" spans="2:12">
      <c r="B33" s="36" t="s">
        <v>52</v>
      </c>
      <c r="C33" s="40">
        <v>7004</v>
      </c>
      <c r="D33" s="40">
        <v>300</v>
      </c>
      <c r="E33" s="40">
        <v>0</v>
      </c>
      <c r="F33" s="40">
        <v>100</v>
      </c>
      <c r="G33" s="40">
        <v>0</v>
      </c>
      <c r="H33" s="44">
        <f t="shared" ref="H32:H37" si="0">MAX(0,C33-D33-E33-F33-G33)</f>
        <v>6604</v>
      </c>
      <c r="I33" s="35">
        <v>65</v>
      </c>
      <c r="J33" s="38">
        <f>H33*I33</f>
        <v>429260</v>
      </c>
    </row>
    <row r="34" spans="2:12">
      <c r="B34" s="36" t="s">
        <v>53</v>
      </c>
      <c r="C34" s="40">
        <v>548</v>
      </c>
      <c r="D34" s="40">
        <v>80</v>
      </c>
      <c r="E34" s="40">
        <v>0</v>
      </c>
      <c r="F34" s="40">
        <v>0</v>
      </c>
      <c r="G34" s="40">
        <v>0</v>
      </c>
      <c r="H34" s="44">
        <f t="shared" si="0"/>
        <v>468</v>
      </c>
      <c r="I34" s="35">
        <v>75</v>
      </c>
      <c r="J34" s="38">
        <f t="shared" ref="J32:J37" si="1">H34*I34</f>
        <v>35100</v>
      </c>
    </row>
    <row r="35" spans="2:12">
      <c r="B35" s="36" t="s">
        <v>54</v>
      </c>
      <c r="C35" s="40">
        <v>384</v>
      </c>
      <c r="D35" s="40">
        <v>60</v>
      </c>
      <c r="E35" s="40">
        <v>0</v>
      </c>
      <c r="F35" s="40">
        <v>0</v>
      </c>
      <c r="G35" s="40">
        <v>0</v>
      </c>
      <c r="H35" s="44">
        <f t="shared" si="0"/>
        <v>324</v>
      </c>
      <c r="I35" s="35">
        <v>180</v>
      </c>
      <c r="J35" s="38">
        <f t="shared" si="1"/>
        <v>58320</v>
      </c>
    </row>
    <row r="36" spans="2:12">
      <c r="B36" s="36" t="s">
        <v>55</v>
      </c>
      <c r="C36" s="40">
        <v>1329</v>
      </c>
      <c r="D36" s="40">
        <v>400</v>
      </c>
      <c r="E36" s="40">
        <v>100</v>
      </c>
      <c r="F36" s="40">
        <v>200</v>
      </c>
      <c r="G36" s="40">
        <v>0</v>
      </c>
      <c r="H36" s="44">
        <f t="shared" si="0"/>
        <v>629</v>
      </c>
      <c r="I36" s="35">
        <v>24</v>
      </c>
      <c r="J36" s="38">
        <f t="shared" si="1"/>
        <v>15096</v>
      </c>
    </row>
    <row r="37" spans="2:12">
      <c r="B37" s="36" t="s">
        <v>56</v>
      </c>
      <c r="C37" s="40">
        <v>2104</v>
      </c>
      <c r="D37" s="40">
        <v>200</v>
      </c>
      <c r="E37" s="40">
        <v>50</v>
      </c>
      <c r="F37" s="40">
        <v>150</v>
      </c>
      <c r="G37" s="40">
        <v>0</v>
      </c>
      <c r="H37" s="44">
        <f t="shared" si="0"/>
        <v>1704</v>
      </c>
      <c r="I37" s="35">
        <v>80</v>
      </c>
      <c r="J37" s="38">
        <f t="shared" si="1"/>
        <v>136320</v>
      </c>
    </row>
    <row r="38" spans="2:12">
      <c r="B38" s="45" t="s">
        <v>57</v>
      </c>
      <c r="C38" s="46">
        <f>SUM(C32:C37)</f>
        <v>11869</v>
      </c>
      <c r="D38" s="46">
        <f t="shared" ref="C38:H38" si="2">SUM(D32:D37)</f>
        <v>1040</v>
      </c>
      <c r="E38" s="46">
        <f t="shared" si="2"/>
        <v>150</v>
      </c>
      <c r="F38" s="46">
        <f t="shared" si="2"/>
        <v>450</v>
      </c>
      <c r="G38" s="46">
        <f t="shared" si="2"/>
        <v>0</v>
      </c>
      <c r="H38" s="46">
        <f t="shared" si="2"/>
        <v>10229</v>
      </c>
      <c r="I38" s="47"/>
      <c r="J38" s="48">
        <f>SUM(J32:J37)</f>
        <v>1099096</v>
      </c>
    </row>
    <row r="47" spans="2:12">
      <c r="L47" s="9" t="s">
        <v>58</v>
      </c>
    </row>
    <row r="61" ht="17.5" spans="1:2">
      <c r="A61" s="27" t="s">
        <v>59</v>
      </c>
    </row>
    <row r="63" ht="17.5" spans="1:2">
      <c r="B63" s="27" t="s">
        <v>60</v>
      </c>
    </row>
    <row r="64" ht="17.5" spans="1:2">
      <c r="B64" s="28" t="s">
        <v>61</v>
      </c>
    </row>
    <row r="65" ht="17.5" spans="2:11">
      <c r="B65" s="28" t="s">
        <v>2</v>
      </c>
    </row>
    <row r="66" ht="17.5" spans="2:11">
      <c r="B66" s="27" t="s">
        <v>62</v>
      </c>
    </row>
    <row r="67" ht="17.5" spans="2:11">
      <c r="B67" s="28" t="s">
        <v>63</v>
      </c>
    </row>
    <row r="68" ht="17.5" spans="2:11">
      <c r="B68" s="28" t="s">
        <v>64</v>
      </c>
    </row>
    <row r="70" spans="2:11">
      <c r="B70" s="30" t="s">
        <v>65</v>
      </c>
      <c r="C70" s="31"/>
      <c r="D70" s="31"/>
      <c r="E70" s="31"/>
      <c r="F70" s="31"/>
      <c r="G70" s="31"/>
      <c r="H70" s="31"/>
      <c r="I70" s="31"/>
    </row>
    <row r="71" ht="42" spans="2:11">
      <c r="B71" s="32" t="s">
        <v>43</v>
      </c>
      <c r="C71" s="32" t="s">
        <v>66</v>
      </c>
      <c r="D71" s="33" t="s">
        <v>67</v>
      </c>
      <c r="E71" s="32" t="s">
        <v>68</v>
      </c>
      <c r="F71" s="32" t="s">
        <v>9</v>
      </c>
      <c r="G71" s="32" t="s">
        <v>69</v>
      </c>
      <c r="H71" s="32" t="s">
        <v>70</v>
      </c>
      <c r="I71" s="32" t="s">
        <v>11</v>
      </c>
      <c r="K71" s="49" t="s">
        <v>71</v>
      </c>
    </row>
    <row r="72" ht="28" spans="2:11">
      <c r="B72" s="34" t="s">
        <v>51</v>
      </c>
      <c r="C72" s="50" t="s">
        <v>72</v>
      </c>
      <c r="D72" s="51" t="s">
        <v>73</v>
      </c>
      <c r="E72" s="40">
        <v>500</v>
      </c>
      <c r="F72" s="34" t="s">
        <v>23</v>
      </c>
      <c r="G72" s="50" t="s">
        <v>74</v>
      </c>
      <c r="H72" s="34" t="s">
        <v>75</v>
      </c>
      <c r="I72" s="37"/>
    </row>
    <row r="73" ht="28" spans="2:11">
      <c r="B73" s="34" t="s">
        <v>52</v>
      </c>
      <c r="C73" s="50" t="s">
        <v>72</v>
      </c>
      <c r="D73" s="51" t="s">
        <v>73</v>
      </c>
      <c r="E73" s="40">
        <v>6604</v>
      </c>
      <c r="F73" s="34" t="s">
        <v>76</v>
      </c>
      <c r="G73" s="50" t="s">
        <v>74</v>
      </c>
      <c r="H73" s="34" t="s">
        <v>77</v>
      </c>
      <c r="I73" s="34" t="s">
        <v>78</v>
      </c>
    </row>
    <row r="74" ht="28" spans="2:11">
      <c r="B74" s="34" t="s">
        <v>53</v>
      </c>
      <c r="C74" s="50" t="s">
        <v>72</v>
      </c>
      <c r="D74" s="51" t="s">
        <v>73</v>
      </c>
      <c r="E74" s="40">
        <v>468</v>
      </c>
      <c r="F74" s="34" t="s">
        <v>79</v>
      </c>
      <c r="G74" s="50" t="s">
        <v>74</v>
      </c>
      <c r="H74" s="34" t="s">
        <v>77</v>
      </c>
      <c r="I74" s="34" t="s">
        <v>78</v>
      </c>
    </row>
    <row r="75" ht="28" spans="2:11">
      <c r="B75" s="34" t="s">
        <v>54</v>
      </c>
      <c r="C75" s="50" t="s">
        <v>72</v>
      </c>
      <c r="D75" s="51" t="s">
        <v>73</v>
      </c>
      <c r="E75" s="40">
        <v>324</v>
      </c>
      <c r="F75" s="34" t="s">
        <v>80</v>
      </c>
      <c r="G75" s="50" t="s">
        <v>74</v>
      </c>
      <c r="H75" s="34" t="s">
        <v>77</v>
      </c>
      <c r="I75" s="34" t="s">
        <v>78</v>
      </c>
    </row>
    <row r="76" ht="42" spans="2:11">
      <c r="B76" s="34" t="s">
        <v>55</v>
      </c>
      <c r="C76" s="50" t="s">
        <v>81</v>
      </c>
      <c r="D76" s="50" t="s">
        <v>82</v>
      </c>
      <c r="E76" s="40">
        <v>629</v>
      </c>
      <c r="F76" s="34" t="s">
        <v>83</v>
      </c>
      <c r="G76" s="50" t="s">
        <v>84</v>
      </c>
      <c r="H76" s="34" t="s">
        <v>85</v>
      </c>
      <c r="I76" s="34" t="s">
        <v>86</v>
      </c>
    </row>
    <row r="77" ht="42" spans="2:11">
      <c r="B77" s="34" t="s">
        <v>56</v>
      </c>
      <c r="C77" s="50" t="s">
        <v>81</v>
      </c>
      <c r="D77" s="50" t="s">
        <v>82</v>
      </c>
      <c r="E77" s="40">
        <v>1704</v>
      </c>
      <c r="F77" s="34" t="s">
        <v>83</v>
      </c>
      <c r="G77" s="50" t="s">
        <v>84</v>
      </c>
      <c r="H77" s="34" t="s">
        <v>85</v>
      </c>
      <c r="I77" s="34" t="s">
        <v>86</v>
      </c>
    </row>
    <row r="79" ht="17.5" spans="2:11">
      <c r="B79" s="28" t="s">
        <v>87</v>
      </c>
    </row>
    <row r="80" spans="2:11">
      <c r="B80" s="52" t="s">
        <v>88</v>
      </c>
    </row>
    <row r="81" spans="1:4">
      <c r="B81" s="52"/>
    </row>
    <row r="82" spans="1:4">
      <c r="B82" s="30" t="s">
        <v>89</v>
      </c>
      <c r="C82" s="31"/>
      <c r="D82" s="31"/>
    </row>
    <row r="83" spans="1:4">
      <c r="B83" s="32" t="s">
        <v>90</v>
      </c>
      <c r="C83" s="32" t="s">
        <v>91</v>
      </c>
      <c r="D83" s="32" t="s">
        <v>92</v>
      </c>
    </row>
    <row r="84" spans="1:4">
      <c r="B84" s="53">
        <v>1</v>
      </c>
      <c r="C84" s="53" t="s">
        <v>93</v>
      </c>
      <c r="D84" s="53" t="s">
        <v>94</v>
      </c>
    </row>
    <row r="85" spans="1:4">
      <c r="B85" s="53">
        <v>2</v>
      </c>
      <c r="C85" s="53" t="s">
        <v>95</v>
      </c>
      <c r="D85" s="53" t="s">
        <v>96</v>
      </c>
    </row>
    <row r="86" spans="1:4">
      <c r="B86" s="34">
        <v>3</v>
      </c>
      <c r="C86" s="34" t="s">
        <v>97</v>
      </c>
      <c r="D86" s="34" t="s">
        <v>96</v>
      </c>
    </row>
    <row r="87" spans="1:4">
      <c r="B87" s="34">
        <v>4</v>
      </c>
      <c r="C87" s="34" t="s">
        <v>98</v>
      </c>
      <c r="D87" s="34" t="s">
        <v>99</v>
      </c>
    </row>
    <row r="88" spans="1:4">
      <c r="B88" s="34">
        <v>5</v>
      </c>
      <c r="C88" s="34" t="s">
        <v>100</v>
      </c>
      <c r="D88" s="34" t="s">
        <v>99</v>
      </c>
    </row>
    <row r="89" spans="1:4">
      <c r="B89" s="34">
        <v>6</v>
      </c>
      <c r="C89" s="34" t="s">
        <v>101</v>
      </c>
      <c r="D89" s="34" t="s">
        <v>102</v>
      </c>
    </row>
    <row r="90" spans="1:4">
      <c r="B90" s="34">
        <v>7</v>
      </c>
      <c r="C90" s="34" t="s">
        <v>103</v>
      </c>
      <c r="D90" s="34" t="s">
        <v>102</v>
      </c>
    </row>
    <row r="91" spans="1:4">
      <c r="B91" s="34">
        <v>8</v>
      </c>
      <c r="C91" s="34" t="s">
        <v>104</v>
      </c>
      <c r="D91" s="34" t="s">
        <v>105</v>
      </c>
    </row>
    <row r="92" spans="1:4">
      <c r="B92" s="34">
        <v>9</v>
      </c>
      <c r="C92" s="34" t="s">
        <v>106</v>
      </c>
      <c r="D92" s="34" t="s">
        <v>105</v>
      </c>
    </row>
    <row r="94" s="24" customFormat="1"/>
    <row r="96" ht="17.5" spans="1:4">
      <c r="A96" s="54" t="s">
        <v>107</v>
      </c>
    </row>
    <row r="97" ht="17.5" spans="1:9">
      <c r="A97" s="54"/>
      <c r="E97" s="49" t="s">
        <v>108</v>
      </c>
    </row>
    <row r="98" ht="17.5" spans="1:9">
      <c r="A98" s="54" t="s">
        <v>109</v>
      </c>
      <c r="B98" s="55"/>
      <c r="C98" s="55"/>
      <c r="E98" s="55"/>
      <c r="F98" s="55"/>
      <c r="G98" s="55"/>
      <c r="H98" s="55"/>
      <c r="I98" s="55"/>
    </row>
    <row r="99" ht="17.5" spans="1:9">
      <c r="A99" s="54"/>
      <c r="B99" s="56" t="s">
        <v>110</v>
      </c>
      <c r="C99" s="55"/>
      <c r="D99" s="55"/>
      <c r="E99" s="55"/>
      <c r="F99" s="55"/>
      <c r="G99" s="55"/>
      <c r="H99" s="55"/>
      <c r="I99" s="55"/>
    </row>
    <row r="100" ht="17.5" spans="1:9">
      <c r="A100" s="54"/>
      <c r="B100" s="55"/>
      <c r="C100" s="55"/>
      <c r="D100" s="55"/>
      <c r="E100" s="55"/>
      <c r="F100" s="55"/>
      <c r="G100" s="55"/>
      <c r="H100" s="55"/>
      <c r="I100" s="55"/>
    </row>
    <row r="101" ht="27" customHeight="1" spans="1:9">
      <c r="B101" s="57" t="s">
        <v>111</v>
      </c>
      <c r="C101" s="58"/>
      <c r="D101" s="58"/>
      <c r="E101" s="58"/>
      <c r="F101" s="58"/>
      <c r="G101" s="58"/>
      <c r="H101" s="58"/>
      <c r="I101" s="58"/>
    </row>
    <row r="102" ht="32" customHeight="1" spans="1:9">
      <c r="B102" s="10" t="s">
        <v>43</v>
      </c>
      <c r="C102" s="10" t="s">
        <v>112</v>
      </c>
      <c r="D102" s="10" t="s">
        <v>113</v>
      </c>
      <c r="E102" s="10" t="s">
        <v>114</v>
      </c>
      <c r="F102" s="10" t="s">
        <v>115</v>
      </c>
      <c r="G102" s="10" t="s">
        <v>116</v>
      </c>
      <c r="H102" s="10" t="s">
        <v>117</v>
      </c>
      <c r="I102" s="10" t="s">
        <v>118</v>
      </c>
    </row>
    <row r="103" ht="43" customHeight="1" spans="1:9">
      <c r="B103" s="11" t="s">
        <v>51</v>
      </c>
      <c r="C103" s="11" t="s">
        <v>119</v>
      </c>
      <c r="D103" s="11" t="s">
        <v>120</v>
      </c>
      <c r="E103" s="11" t="s">
        <v>121</v>
      </c>
      <c r="F103" s="11" t="s">
        <v>122</v>
      </c>
      <c r="G103" s="11" t="s">
        <v>123</v>
      </c>
      <c r="H103" s="59" t="s">
        <v>124</v>
      </c>
      <c r="I103" s="11" t="s">
        <v>125</v>
      </c>
    </row>
    <row r="104" ht="49" customHeight="1" spans="1:9">
      <c r="B104" s="11" t="s">
        <v>52</v>
      </c>
      <c r="C104" s="11" t="s">
        <v>126</v>
      </c>
      <c r="D104" s="11" t="s">
        <v>127</v>
      </c>
      <c r="E104" s="11" t="s">
        <v>128</v>
      </c>
      <c r="F104" s="11" t="s">
        <v>129</v>
      </c>
      <c r="G104" s="11" t="s">
        <v>130</v>
      </c>
      <c r="H104" s="59" t="s">
        <v>124</v>
      </c>
      <c r="I104" s="11" t="s">
        <v>125</v>
      </c>
    </row>
    <row r="105" ht="43" customHeight="1" spans="1:9">
      <c r="B105" s="11" t="s">
        <v>53</v>
      </c>
      <c r="C105" s="11" t="s">
        <v>131</v>
      </c>
      <c r="D105" s="11" t="s">
        <v>132</v>
      </c>
      <c r="E105" s="11" t="s">
        <v>133</v>
      </c>
      <c r="F105" s="11" t="s">
        <v>134</v>
      </c>
      <c r="G105" s="11" t="s">
        <v>135</v>
      </c>
      <c r="H105" s="59" t="s">
        <v>124</v>
      </c>
      <c r="I105" s="11" t="s">
        <v>125</v>
      </c>
    </row>
    <row r="106" ht="39" customHeight="1" spans="1:9">
      <c r="B106" s="11" t="s">
        <v>54</v>
      </c>
      <c r="C106" s="11" t="s">
        <v>136</v>
      </c>
      <c r="D106" s="11" t="s">
        <v>137</v>
      </c>
      <c r="E106" s="11" t="s">
        <v>138</v>
      </c>
      <c r="F106" s="11" t="s">
        <v>139</v>
      </c>
      <c r="G106" s="11" t="s">
        <v>140</v>
      </c>
      <c r="H106" s="59" t="s">
        <v>124</v>
      </c>
      <c r="I106" s="11" t="s">
        <v>125</v>
      </c>
    </row>
    <row r="108" ht="27" customHeight="1" spans="1:9">
      <c r="B108" s="60" t="s">
        <v>141</v>
      </c>
      <c r="C108" s="61"/>
      <c r="D108" s="61"/>
      <c r="E108" s="61"/>
      <c r="F108" s="61"/>
      <c r="G108" s="61"/>
      <c r="H108" s="61"/>
    </row>
    <row r="109" ht="22" customHeight="1" spans="1:9">
      <c r="B109" s="10" t="s">
        <v>43</v>
      </c>
      <c r="C109" s="10" t="s">
        <v>142</v>
      </c>
      <c r="D109" s="10" t="s">
        <v>143</v>
      </c>
      <c r="E109" s="10" t="s">
        <v>144</v>
      </c>
      <c r="F109" s="10" t="s">
        <v>145</v>
      </c>
      <c r="G109" s="10" t="s">
        <v>146</v>
      </c>
      <c r="H109" s="10" t="s">
        <v>147</v>
      </c>
    </row>
    <row r="110" ht="42" spans="1:9">
      <c r="B110" s="11" t="s">
        <v>55</v>
      </c>
      <c r="C110" s="11" t="s">
        <v>148</v>
      </c>
      <c r="D110" s="11" t="s">
        <v>149</v>
      </c>
      <c r="E110" s="10" t="s">
        <v>150</v>
      </c>
      <c r="F110" s="11" t="s">
        <v>151</v>
      </c>
      <c r="G110" s="11" t="s">
        <v>152</v>
      </c>
      <c r="H110" s="11" t="s">
        <v>153</v>
      </c>
    </row>
    <row r="111" ht="56" spans="1:9">
      <c r="B111" s="11" t="s">
        <v>56</v>
      </c>
      <c r="C111" s="11" t="s">
        <v>154</v>
      </c>
      <c r="D111" s="11" t="s">
        <v>155</v>
      </c>
      <c r="E111" s="10" t="s">
        <v>156</v>
      </c>
      <c r="F111" s="11" t="s">
        <v>151</v>
      </c>
      <c r="G111" s="11" t="s">
        <v>152</v>
      </c>
      <c r="H111" s="11" t="s">
        <v>153</v>
      </c>
    </row>
    <row r="113" ht="17.5" spans="1:2">
      <c r="A113" s="54" t="s">
        <v>157</v>
      </c>
    </row>
    <row r="114" ht="17.5" spans="1:2">
      <c r="A114" s="62"/>
    </row>
    <row r="116" spans="1:2">
      <c r="B116" s="63" t="s">
        <v>158</v>
      </c>
    </row>
    <row r="124" spans="1:2">
      <c r="B124" s="52" t="s">
        <v>159</v>
      </c>
    </row>
    <row r="127" ht="17.5" spans="1:2">
      <c r="A127" s="54" t="s">
        <v>160</v>
      </c>
    </row>
    <row r="129" spans="2:4">
      <c r="B129" s="6" t="s">
        <v>161</v>
      </c>
    </row>
    <row r="130" spans="2:4">
      <c r="B130" s="3"/>
    </row>
    <row r="131" spans="2:4">
      <c r="B131" s="3" t="s">
        <v>162</v>
      </c>
    </row>
    <row r="132" spans="2:4">
      <c r="B132" s="3"/>
    </row>
    <row r="133" spans="2:4">
      <c r="B133" s="6" t="s">
        <v>163</v>
      </c>
    </row>
    <row r="134" spans="2:4">
      <c r="B134" s="3"/>
    </row>
    <row r="135" spans="2:4">
      <c r="B135" s="3" t="s">
        <v>164</v>
      </c>
    </row>
    <row r="136" spans="2:4">
      <c r="B136" s="3"/>
    </row>
    <row r="137" spans="2:4">
      <c r="B137" s="15" t="s">
        <v>165</v>
      </c>
      <c r="D137" s="64" t="s">
        <v>166</v>
      </c>
    </row>
    <row r="138" spans="2:4">
      <c r="B138" s="15" t="s">
        <v>167</v>
      </c>
      <c r="D138" s="65" t="s">
        <v>168</v>
      </c>
    </row>
    <row r="139" spans="2:4">
      <c r="B139" s="15" t="s">
        <v>169</v>
      </c>
      <c r="D139" s="64" t="s">
        <v>170</v>
      </c>
    </row>
    <row r="140" spans="2:4">
      <c r="B140" s="3"/>
    </row>
    <row r="141" spans="2:4">
      <c r="B141" s="3" t="s">
        <v>171</v>
      </c>
    </row>
    <row r="142" spans="2:4">
      <c r="B142" s="3"/>
    </row>
    <row r="143" ht="17.5" spans="2:4">
      <c r="B143" s="62" t="s">
        <v>172</v>
      </c>
    </row>
    <row r="145" s="24" customFormat="1" ht="17.5"/>
    <row r="147" ht="18.5" spans="1:9">
      <c r="A147" s="66" t="s">
        <v>173</v>
      </c>
    </row>
    <row r="148" ht="18.5" spans="1:9">
      <c r="A148" s="66"/>
    </row>
    <row r="149" ht="18.5" spans="1:9">
      <c r="A149" s="67" t="s">
        <v>174</v>
      </c>
    </row>
    <row r="150" ht="18.5" spans="1:9">
      <c r="A150" s="67" t="s">
        <v>175</v>
      </c>
    </row>
    <row r="151" ht="18.5" spans="1:9">
      <c r="A151" s="67" t="s">
        <v>176</v>
      </c>
    </row>
    <row r="153" spans="1:9">
      <c r="B153" s="68" t="s">
        <v>177</v>
      </c>
      <c r="C153" s="68" t="s">
        <v>178</v>
      </c>
    </row>
    <row r="154" spans="1:9">
      <c r="B154" s="69" t="s">
        <v>179</v>
      </c>
      <c r="C154" s="70">
        <v>0.4</v>
      </c>
    </row>
    <row r="155" spans="1:9">
      <c r="B155" s="69" t="s">
        <v>180</v>
      </c>
      <c r="C155" s="70">
        <v>0.2</v>
      </c>
      <c r="I155" s="9" t="s">
        <v>181</v>
      </c>
    </row>
    <row r="156" spans="1:9">
      <c r="B156" s="69" t="s">
        <v>182</v>
      </c>
      <c r="C156" s="70">
        <v>0.15</v>
      </c>
    </row>
    <row r="157" spans="1:9">
      <c r="B157" s="69" t="s">
        <v>183</v>
      </c>
      <c r="C157" s="70">
        <v>0.1</v>
      </c>
    </row>
    <row r="158" spans="1:9">
      <c r="B158" s="69" t="s">
        <v>184</v>
      </c>
      <c r="C158" s="70">
        <v>0.1</v>
      </c>
    </row>
    <row r="159" spans="1:9">
      <c r="B159" s="69" t="s">
        <v>185</v>
      </c>
      <c r="C159" s="70">
        <v>0.05</v>
      </c>
    </row>
    <row r="160" spans="1:9">
      <c r="B160" s="69" t="s">
        <v>186</v>
      </c>
      <c r="C160" s="71">
        <f>SUM(C154:C159)</f>
        <v>1</v>
      </c>
    </row>
    <row r="162" spans="2:11">
      <c r="B162" s="72" t="s">
        <v>187</v>
      </c>
      <c r="C162" s="73"/>
      <c r="D162" s="73"/>
      <c r="E162" s="73"/>
      <c r="F162" s="73"/>
      <c r="G162" s="73"/>
      <c r="H162" s="73"/>
    </row>
    <row r="163" spans="2:11">
      <c r="B163" s="68" t="s">
        <v>188</v>
      </c>
      <c r="C163" s="68" t="s">
        <v>189</v>
      </c>
      <c r="D163" s="68" t="s">
        <v>190</v>
      </c>
      <c r="E163" s="68" t="s">
        <v>191</v>
      </c>
      <c r="F163" s="68" t="s">
        <v>192</v>
      </c>
      <c r="G163" s="68" t="s">
        <v>193</v>
      </c>
      <c r="H163" s="68" t="s">
        <v>194</v>
      </c>
    </row>
    <row r="164" spans="2:11">
      <c r="B164" s="74" t="s">
        <v>195</v>
      </c>
      <c r="C164" s="74">
        <v>85</v>
      </c>
      <c r="D164" s="74">
        <v>80</v>
      </c>
      <c r="E164" s="74">
        <v>90</v>
      </c>
      <c r="F164" s="74">
        <v>95</v>
      </c>
      <c r="G164" s="74">
        <v>95</v>
      </c>
      <c r="H164" s="74">
        <v>30</v>
      </c>
    </row>
    <row r="165" spans="2:11">
      <c r="B165" s="75" t="s">
        <v>196</v>
      </c>
      <c r="C165" s="75">
        <v>92</v>
      </c>
      <c r="D165" s="75">
        <v>88</v>
      </c>
      <c r="E165" s="75">
        <v>88</v>
      </c>
      <c r="F165" s="75">
        <v>90</v>
      </c>
      <c r="G165" s="75">
        <v>92</v>
      </c>
      <c r="H165" s="75">
        <v>50</v>
      </c>
    </row>
    <row r="166" spans="2:11">
      <c r="B166" s="74" t="s">
        <v>197</v>
      </c>
      <c r="C166" s="74">
        <v>60</v>
      </c>
      <c r="D166" s="74">
        <v>65</v>
      </c>
      <c r="E166" s="74">
        <v>82</v>
      </c>
      <c r="F166" s="74">
        <v>55</v>
      </c>
      <c r="G166" s="74">
        <v>88</v>
      </c>
      <c r="H166" s="74">
        <v>70</v>
      </c>
    </row>
    <row r="169" ht="23" customHeight="1" spans="2:11">
      <c r="B169" s="76" t="s">
        <v>198</v>
      </c>
      <c r="C169" s="77"/>
      <c r="D169" s="77"/>
      <c r="E169" s="77"/>
      <c r="F169" s="77"/>
      <c r="G169" s="77"/>
      <c r="H169" s="77"/>
      <c r="I169" s="77"/>
      <c r="J169" s="77"/>
      <c r="K169" s="77"/>
    </row>
    <row r="170" spans="2:11">
      <c r="B170" s="32" t="s">
        <v>188</v>
      </c>
      <c r="C170" s="32" t="s">
        <v>199</v>
      </c>
      <c r="D170" s="32" t="s">
        <v>200</v>
      </c>
      <c r="E170" s="32" t="s">
        <v>201</v>
      </c>
      <c r="F170" s="32" t="s">
        <v>202</v>
      </c>
      <c r="G170" s="32" t="s">
        <v>203</v>
      </c>
      <c r="H170" s="32" t="s">
        <v>204</v>
      </c>
      <c r="I170" s="32" t="s">
        <v>205</v>
      </c>
      <c r="J170" s="32" t="s">
        <v>206</v>
      </c>
      <c r="K170" s="32" t="s">
        <v>10</v>
      </c>
    </row>
    <row r="171" spans="2:11">
      <c r="B171" s="74" t="s">
        <v>195</v>
      </c>
      <c r="C171" s="78">
        <f>C164*0.4</f>
        <v>34</v>
      </c>
      <c r="D171" s="78">
        <f>D164*0.2</f>
        <v>16</v>
      </c>
      <c r="E171" s="78">
        <f>E164*0.15</f>
        <v>13.5</v>
      </c>
      <c r="F171" s="78">
        <f>F164*0.1</f>
        <v>9.5</v>
      </c>
      <c r="G171" s="78">
        <f>G164*0.1</f>
        <v>9.5</v>
      </c>
      <c r="H171" s="78">
        <f>H164*0.05</f>
        <v>1.5</v>
      </c>
      <c r="I171" s="79">
        <f>SUM(C171:H171)</f>
        <v>84</v>
      </c>
      <c r="J171" s="50">
        <v>2</v>
      </c>
      <c r="K171" s="69" t="str">
        <f>IF(J171=1,"综合表现最优","按排序进入备选")</f>
        <v>按排序进入备选</v>
      </c>
    </row>
    <row r="172" spans="2:11">
      <c r="B172" s="80" t="s">
        <v>196</v>
      </c>
      <c r="C172" s="78">
        <f>C165*0.4</f>
        <v>36.8</v>
      </c>
      <c r="D172" s="78">
        <f>D165*0.2</f>
        <v>17.6</v>
      </c>
      <c r="E172" s="78">
        <f>E165*0.15</f>
        <v>13.2</v>
      </c>
      <c r="F172" s="78">
        <f>F165*0.1</f>
        <v>9</v>
      </c>
      <c r="G172" s="78">
        <f>G165*0.1</f>
        <v>9.2</v>
      </c>
      <c r="H172" s="78">
        <f>H165*0.05</f>
        <v>2.5</v>
      </c>
      <c r="I172" s="79">
        <f>SUM(C172:H172)</f>
        <v>88.3</v>
      </c>
      <c r="J172" s="81">
        <v>1</v>
      </c>
      <c r="K172" s="82" t="str">
        <f t="shared" ref="K171:K173" si="3">IF(J172=1,"综合表现最优","按排序进入备选")</f>
        <v>综合表现最优</v>
      </c>
    </row>
    <row r="173" spans="2:11">
      <c r="B173" s="74" t="s">
        <v>197</v>
      </c>
      <c r="C173" s="78">
        <f>C166*0.4</f>
        <v>24</v>
      </c>
      <c r="D173" s="78">
        <f>D166*0.2</f>
        <v>13</v>
      </c>
      <c r="E173" s="78">
        <f>E166*0.15</f>
        <v>12.3</v>
      </c>
      <c r="F173" s="78">
        <f>F166*0.1</f>
        <v>5.5</v>
      </c>
      <c r="G173" s="78">
        <f>G166*0.1</f>
        <v>8.8</v>
      </c>
      <c r="H173" s="78">
        <f>H166*0.05</f>
        <v>3.5</v>
      </c>
      <c r="I173" s="79">
        <f>SUM(C173:H173)</f>
        <v>67.1</v>
      </c>
      <c r="J173" s="50">
        <v>3</v>
      </c>
      <c r="K173" s="69" t="str">
        <f t="shared" si="3"/>
        <v>按排序进入备选</v>
      </c>
    </row>
    <row r="176" s="24" customFormat="1"/>
    <row r="178" ht="17.5" spans="1:12">
      <c r="A178" s="54" t="s">
        <v>207</v>
      </c>
    </row>
    <row r="179" ht="17.5" spans="1:12">
      <c r="A179" s="54"/>
    </row>
    <row r="180" ht="17.5" spans="1:12">
      <c r="A180" s="83" t="s">
        <v>208</v>
      </c>
    </row>
    <row r="181" ht="17.5" spans="1:12">
      <c r="A181" s="54" t="s">
        <v>209</v>
      </c>
    </row>
    <row r="182" ht="17.5" spans="1:12">
      <c r="A182" s="83" t="s">
        <v>210</v>
      </c>
      <c r="I182" s="9" t="s">
        <v>211</v>
      </c>
    </row>
    <row r="183" ht="17.5" spans="1:12">
      <c r="A183" s="54" t="s">
        <v>212</v>
      </c>
    </row>
    <row r="184" ht="17.5" spans="1:12">
      <c r="A184" s="83" t="s">
        <v>213</v>
      </c>
    </row>
    <row r="185" ht="17.5" spans="1:12">
      <c r="A185" s="54" t="s">
        <v>214</v>
      </c>
    </row>
    <row r="186" ht="17.5" spans="1:12">
      <c r="A186" s="83" t="s">
        <v>215</v>
      </c>
    </row>
    <row r="188" ht="23" spans="1:12">
      <c r="B188" s="84" t="s">
        <v>216</v>
      </c>
      <c r="C188" s="85"/>
      <c r="D188" s="85"/>
      <c r="E188" s="85"/>
      <c r="F188" s="85"/>
      <c r="G188" s="85"/>
      <c r="H188" s="85"/>
      <c r="I188" s="85"/>
      <c r="J188" s="85"/>
      <c r="K188" s="85"/>
      <c r="L188" s="85"/>
    </row>
    <row r="189" spans="1:12">
      <c r="B189" s="86"/>
      <c r="C189" s="87"/>
      <c r="D189" s="87"/>
      <c r="E189" s="87"/>
      <c r="F189" s="87"/>
      <c r="G189" s="87"/>
      <c r="H189" s="87"/>
      <c r="I189" s="88"/>
      <c r="J189" s="88"/>
      <c r="K189" s="88"/>
      <c r="L189" s="88"/>
    </row>
    <row r="190" ht="14.75" spans="1:12">
      <c r="B190" s="86"/>
      <c r="C190" s="89" t="s">
        <v>217</v>
      </c>
      <c r="D190" s="87"/>
      <c r="E190" s="87"/>
      <c r="F190" s="87"/>
      <c r="G190" s="87"/>
      <c r="H190" s="87"/>
      <c r="I190" s="87"/>
      <c r="J190" s="88"/>
      <c r="K190" s="88"/>
      <c r="L190" s="88"/>
    </row>
    <row r="191" spans="1:12">
      <c r="B191" s="86"/>
      <c r="C191" s="90" t="s">
        <v>218</v>
      </c>
      <c r="D191" s="91" t="s">
        <v>219</v>
      </c>
      <c r="E191" s="92"/>
      <c r="F191" s="92"/>
      <c r="G191" s="92"/>
      <c r="H191" s="92"/>
      <c r="I191" s="92"/>
      <c r="J191" s="88"/>
      <c r="K191" s="88"/>
      <c r="L191" s="88"/>
    </row>
    <row r="192" spans="1:12">
      <c r="B192" s="86"/>
      <c r="C192" s="93" t="s">
        <v>220</v>
      </c>
      <c r="D192" s="91" t="s">
        <v>221</v>
      </c>
      <c r="E192" s="92"/>
      <c r="F192" s="92"/>
      <c r="G192" s="92"/>
      <c r="H192" s="92"/>
      <c r="I192" s="92"/>
      <c r="J192" s="88"/>
      <c r="K192" s="88"/>
      <c r="L192" s="88"/>
    </row>
    <row r="193" ht="14.75" spans="2:12">
      <c r="B193" s="86"/>
      <c r="C193" s="93" t="s">
        <v>222</v>
      </c>
      <c r="D193" s="91" t="s">
        <v>223</v>
      </c>
      <c r="E193" s="92"/>
      <c r="F193" s="92"/>
      <c r="G193" s="92"/>
      <c r="H193" s="92"/>
      <c r="I193" s="92"/>
      <c r="J193" s="88"/>
      <c r="K193" s="88"/>
      <c r="L193" s="88"/>
    </row>
    <row r="194" ht="14.75" spans="2:12">
      <c r="B194" s="86"/>
      <c r="C194" s="93" t="s">
        <v>224</v>
      </c>
      <c r="D194" s="91" t="s">
        <v>225</v>
      </c>
      <c r="E194" s="92"/>
      <c r="F194" s="92"/>
      <c r="G194" s="92"/>
      <c r="H194" s="92"/>
      <c r="I194" s="92"/>
      <c r="J194" s="88"/>
      <c r="K194" s="88"/>
      <c r="L194" s="88"/>
    </row>
    <row r="195" ht="14.75" spans="2:12">
      <c r="B195" s="86"/>
      <c r="C195" s="93" t="s">
        <v>226</v>
      </c>
      <c r="D195" s="91" t="s">
        <v>227</v>
      </c>
      <c r="E195" s="92"/>
      <c r="F195" s="92"/>
      <c r="G195" s="92"/>
      <c r="H195" s="92"/>
      <c r="I195" s="92"/>
      <c r="J195" s="88"/>
      <c r="K195" s="88"/>
      <c r="L195" s="88"/>
    </row>
    <row r="196" spans="2:12">
      <c r="B196" s="86"/>
      <c r="C196" s="87"/>
      <c r="D196" s="87"/>
      <c r="E196" s="87"/>
      <c r="F196" s="87"/>
      <c r="G196" s="87"/>
      <c r="H196" s="87"/>
      <c r="I196" s="88"/>
      <c r="J196" s="88"/>
      <c r="K196" s="88"/>
      <c r="L196" s="88"/>
    </row>
    <row r="197" spans="2:12">
      <c r="B197" s="94" t="s">
        <v>228</v>
      </c>
      <c r="C197" s="87"/>
      <c r="D197" s="87"/>
      <c r="E197" s="87"/>
      <c r="F197" s="87"/>
      <c r="G197" s="87"/>
      <c r="H197" s="87"/>
      <c r="I197" s="88"/>
      <c r="J197" s="88"/>
      <c r="K197" s="88"/>
      <c r="L197" s="88"/>
    </row>
    <row r="198" ht="15" spans="2:12">
      <c r="B198" s="95" t="s">
        <v>229</v>
      </c>
      <c r="C198" s="87"/>
      <c r="D198" s="87"/>
      <c r="E198" s="87"/>
      <c r="F198" s="87"/>
      <c r="G198" s="87"/>
      <c r="H198" s="87"/>
      <c r="I198" s="88"/>
      <c r="J198" s="88"/>
      <c r="K198" s="88"/>
      <c r="L198" s="88"/>
    </row>
    <row r="199" spans="2:12">
      <c r="B199" s="86"/>
      <c r="C199" s="87"/>
      <c r="D199" s="87"/>
      <c r="E199" s="87"/>
      <c r="F199" s="87"/>
      <c r="G199" s="87"/>
      <c r="H199" s="87"/>
      <c r="I199" s="88"/>
      <c r="J199" s="88"/>
      <c r="K199" s="88"/>
      <c r="L199" s="88"/>
    </row>
    <row r="200" ht="14.75" spans="2:12">
      <c r="B200" s="94" t="s">
        <v>230</v>
      </c>
      <c r="C200" s="87"/>
      <c r="D200" s="87"/>
      <c r="E200" s="87"/>
      <c r="F200" s="87"/>
      <c r="G200" s="87"/>
      <c r="H200" s="87"/>
      <c r="I200" s="88"/>
      <c r="J200" s="88"/>
      <c r="K200" s="88"/>
      <c r="L200" s="88"/>
    </row>
    <row r="201" ht="20" spans="2:12">
      <c r="B201" s="88"/>
      <c r="C201" s="96" t="s">
        <v>231</v>
      </c>
      <c r="D201" s="96" t="s">
        <v>232</v>
      </c>
      <c r="E201" s="96" t="s">
        <v>9</v>
      </c>
      <c r="F201" s="96" t="s">
        <v>233</v>
      </c>
      <c r="G201" s="96" t="s">
        <v>234</v>
      </c>
      <c r="H201" s="96" t="s">
        <v>235</v>
      </c>
      <c r="I201" s="88"/>
      <c r="J201" s="88"/>
      <c r="K201" s="88"/>
      <c r="L201" s="88"/>
    </row>
    <row r="202" ht="14.75" spans="2:12">
      <c r="B202" s="88"/>
      <c r="C202" s="97">
        <v>1</v>
      </c>
      <c r="D202" s="96" t="s">
        <v>51</v>
      </c>
      <c r="E202" s="96" t="s">
        <v>23</v>
      </c>
      <c r="F202" s="97">
        <v>500</v>
      </c>
      <c r="G202" s="97">
        <v>835</v>
      </c>
      <c r="H202" s="98">
        <f>F202*G202</f>
        <v>417500</v>
      </c>
      <c r="I202" s="88"/>
      <c r="J202" s="88"/>
      <c r="K202" s="88"/>
      <c r="L202" s="88"/>
    </row>
    <row r="203" ht="14.75" spans="2:12">
      <c r="B203" s="88"/>
      <c r="C203" s="97">
        <v>2</v>
      </c>
      <c r="D203" s="96" t="s">
        <v>52</v>
      </c>
      <c r="E203" s="96" t="s">
        <v>76</v>
      </c>
      <c r="F203" s="97">
        <v>6604</v>
      </c>
      <c r="G203" s="97">
        <v>64</v>
      </c>
      <c r="H203" s="98">
        <f>F203*G203</f>
        <v>422656</v>
      </c>
      <c r="I203" s="88"/>
      <c r="J203" s="88"/>
      <c r="K203" s="88"/>
      <c r="L203" s="88"/>
    </row>
    <row r="204" ht="14.75" spans="2:12">
      <c r="B204" s="88"/>
      <c r="C204" s="97">
        <v>3</v>
      </c>
      <c r="D204" s="96" t="s">
        <v>53</v>
      </c>
      <c r="E204" s="96" t="s">
        <v>79</v>
      </c>
      <c r="F204" s="97">
        <v>468</v>
      </c>
      <c r="G204" s="97">
        <v>74</v>
      </c>
      <c r="H204" s="98">
        <f>F204*G204</f>
        <v>34632</v>
      </c>
      <c r="I204" s="88"/>
      <c r="J204" s="88"/>
      <c r="K204" s="88"/>
      <c r="L204" s="88"/>
    </row>
    <row r="205" ht="14.75" spans="2:12">
      <c r="B205" s="88"/>
      <c r="C205" s="97">
        <v>4</v>
      </c>
      <c r="D205" s="96" t="s">
        <v>54</v>
      </c>
      <c r="E205" s="96" t="s">
        <v>80</v>
      </c>
      <c r="F205" s="97">
        <v>324</v>
      </c>
      <c r="G205" s="97">
        <v>178</v>
      </c>
      <c r="H205" s="98">
        <f>F205*G205</f>
        <v>57672</v>
      </c>
      <c r="I205" s="88"/>
      <c r="J205" s="88"/>
      <c r="K205" s="88"/>
      <c r="L205" s="88"/>
    </row>
    <row r="206" ht="14.75" spans="2:12">
      <c r="B206" s="88"/>
      <c r="C206" s="99" t="s">
        <v>236</v>
      </c>
      <c r="D206" s="100"/>
      <c r="E206" s="100"/>
      <c r="F206" s="100"/>
      <c r="G206" s="101"/>
      <c r="H206" s="98">
        <f>SUM(H202:H205)</f>
        <v>932460</v>
      </c>
      <c r="I206" s="88"/>
      <c r="J206" s="88"/>
      <c r="K206" s="88"/>
      <c r="L206" s="88"/>
    </row>
    <row r="207" spans="2:12">
      <c r="B207" s="86"/>
      <c r="C207" s="102" t="s">
        <v>237</v>
      </c>
      <c r="D207" s="103"/>
      <c r="E207" s="103"/>
      <c r="F207" s="103"/>
      <c r="G207" s="103"/>
      <c r="H207" s="104"/>
      <c r="I207" s="88"/>
      <c r="J207" s="88"/>
      <c r="K207" s="88"/>
      <c r="L207" s="88"/>
    </row>
    <row r="208" spans="2:12">
      <c r="B208" s="86"/>
      <c r="C208" s="94" t="s">
        <v>238</v>
      </c>
      <c r="D208" s="87"/>
      <c r="E208" s="87"/>
      <c r="F208" s="87"/>
      <c r="G208" s="87"/>
      <c r="H208" s="87"/>
      <c r="I208" s="88"/>
      <c r="J208" s="88"/>
      <c r="K208" s="88"/>
      <c r="L208" s="88"/>
    </row>
    <row r="209" spans="2:12">
      <c r="B209" s="87"/>
      <c r="C209" s="87"/>
      <c r="D209" s="87"/>
      <c r="E209" s="87"/>
      <c r="F209" s="87"/>
      <c r="G209" s="87"/>
      <c r="H209" s="87"/>
      <c r="I209" s="88"/>
      <c r="J209" s="88"/>
      <c r="K209" s="88"/>
      <c r="L209" s="88"/>
    </row>
    <row r="210" spans="2:12">
      <c r="B210" s="86"/>
      <c r="C210" s="87"/>
      <c r="D210" s="87"/>
      <c r="E210" s="87"/>
      <c r="F210" s="87"/>
      <c r="G210" s="87"/>
      <c r="H210" s="87"/>
      <c r="I210" s="88"/>
      <c r="J210" s="88"/>
      <c r="K210" s="88"/>
      <c r="L210" s="88"/>
    </row>
    <row r="211" spans="2:12">
      <c r="B211" s="94" t="s">
        <v>239</v>
      </c>
      <c r="C211" s="87"/>
      <c r="D211" s="87"/>
      <c r="E211" s="87"/>
      <c r="F211" s="87"/>
      <c r="G211" s="87"/>
      <c r="H211" s="87"/>
      <c r="I211" s="88"/>
      <c r="J211" s="88"/>
      <c r="K211" s="88"/>
      <c r="L211" s="88"/>
    </row>
    <row r="212" ht="15" spans="2:12">
      <c r="B212" s="95" t="s">
        <v>240</v>
      </c>
      <c r="C212" s="87"/>
      <c r="D212" s="87"/>
      <c r="E212" s="87"/>
      <c r="F212" s="87"/>
      <c r="G212" s="87"/>
      <c r="H212" s="87"/>
      <c r="I212" s="88"/>
      <c r="J212" s="88"/>
      <c r="K212" s="88"/>
      <c r="L212" s="88"/>
    </row>
    <row r="213" spans="2:12">
      <c r="B213" s="86"/>
      <c r="C213" s="87"/>
      <c r="D213" s="87"/>
      <c r="E213" s="87"/>
      <c r="F213" s="87"/>
      <c r="G213" s="87"/>
      <c r="H213" s="87"/>
      <c r="I213" s="88"/>
      <c r="J213" s="88"/>
      <c r="K213" s="88"/>
      <c r="L213" s="88"/>
    </row>
    <row r="214" spans="2:12">
      <c r="B214" s="94" t="s">
        <v>241</v>
      </c>
      <c r="C214" s="87"/>
      <c r="D214" s="87"/>
      <c r="E214" s="87"/>
      <c r="F214" s="87"/>
      <c r="G214" s="87"/>
      <c r="H214" s="87"/>
      <c r="I214" s="88"/>
      <c r="J214" s="88"/>
      <c r="K214" s="88"/>
      <c r="L214" s="88"/>
    </row>
    <row r="215" spans="2:12">
      <c r="B215" s="86"/>
      <c r="C215" s="87"/>
      <c r="D215" s="87"/>
      <c r="E215" s="87"/>
      <c r="F215" s="87"/>
      <c r="G215" s="87"/>
      <c r="H215" s="87"/>
      <c r="I215" s="88"/>
      <c r="J215" s="88"/>
      <c r="K215" s="88"/>
      <c r="L215" s="88"/>
    </row>
    <row r="216" spans="2:12">
      <c r="B216" s="94" t="s">
        <v>242</v>
      </c>
      <c r="C216" s="87"/>
      <c r="D216" s="87"/>
      <c r="E216" s="87"/>
      <c r="F216" s="87"/>
      <c r="G216" s="87"/>
      <c r="H216" s="87"/>
      <c r="I216" s="88"/>
      <c r="J216" s="88"/>
      <c r="K216" s="88"/>
      <c r="L216" s="88"/>
    </row>
    <row r="217" spans="2:12">
      <c r="B217" s="86"/>
      <c r="C217" s="87"/>
      <c r="D217" s="87"/>
      <c r="E217" s="87"/>
      <c r="F217" s="87"/>
      <c r="G217" s="87"/>
      <c r="H217" s="87"/>
      <c r="I217" s="88"/>
      <c r="J217" s="88"/>
      <c r="K217" s="88"/>
      <c r="L217" s="88"/>
    </row>
    <row r="218" spans="2:12">
      <c r="B218" s="94" t="s">
        <v>243</v>
      </c>
      <c r="C218" s="87"/>
      <c r="D218" s="87"/>
      <c r="E218" s="87"/>
      <c r="F218" s="87"/>
      <c r="G218" s="87"/>
      <c r="H218" s="87"/>
      <c r="I218" s="88"/>
      <c r="J218" s="88"/>
      <c r="K218" s="88"/>
      <c r="L218" s="88"/>
    </row>
    <row r="219" ht="15" spans="2:12">
      <c r="B219" s="95" t="s">
        <v>244</v>
      </c>
      <c r="C219" s="87"/>
      <c r="D219" s="87"/>
      <c r="E219" s="87"/>
      <c r="F219" s="87"/>
      <c r="G219" s="87"/>
      <c r="H219" s="87"/>
      <c r="I219" s="88"/>
      <c r="J219" s="88"/>
      <c r="K219" s="88"/>
      <c r="L219" s="88"/>
    </row>
    <row r="220" ht="14.75" spans="2:12">
      <c r="B220" s="88"/>
      <c r="C220" s="105" t="s">
        <v>43</v>
      </c>
      <c r="D220" s="105" t="s">
        <v>245</v>
      </c>
      <c r="E220" s="105" t="s">
        <v>246</v>
      </c>
      <c r="F220" s="105" t="s">
        <v>247</v>
      </c>
      <c r="G220" s="87"/>
      <c r="H220" s="87"/>
      <c r="I220" s="88"/>
      <c r="J220" s="88"/>
      <c r="K220" s="88"/>
      <c r="L220" s="88"/>
    </row>
    <row r="221" ht="20.75" spans="2:12">
      <c r="B221" s="88"/>
      <c r="C221" s="106" t="s">
        <v>51</v>
      </c>
      <c r="D221" s="106" t="s">
        <v>248</v>
      </c>
      <c r="E221" s="106" t="s">
        <v>249</v>
      </c>
      <c r="F221" s="106" t="s">
        <v>250</v>
      </c>
      <c r="G221" s="87"/>
      <c r="H221" s="87"/>
      <c r="I221" s="88"/>
      <c r="J221" s="88"/>
      <c r="K221" s="88"/>
      <c r="L221" s="88"/>
    </row>
    <row r="222" ht="20.75" spans="2:12">
      <c r="B222" s="88"/>
      <c r="C222" s="106" t="s">
        <v>52</v>
      </c>
      <c r="D222" s="106" t="s">
        <v>251</v>
      </c>
      <c r="E222" s="106" t="s">
        <v>249</v>
      </c>
      <c r="F222" s="106" t="s">
        <v>250</v>
      </c>
      <c r="G222" s="87"/>
      <c r="H222" s="87"/>
      <c r="I222" s="88"/>
      <c r="J222" s="88"/>
      <c r="K222" s="88"/>
      <c r="L222" s="88"/>
    </row>
    <row r="223" ht="20.75" spans="2:12">
      <c r="B223" s="88"/>
      <c r="C223" s="106" t="s">
        <v>53</v>
      </c>
      <c r="D223" s="106" t="s">
        <v>251</v>
      </c>
      <c r="E223" s="106" t="s">
        <v>249</v>
      </c>
      <c r="F223" s="106" t="s">
        <v>250</v>
      </c>
      <c r="G223" s="87"/>
      <c r="H223" s="87"/>
      <c r="I223" s="88"/>
      <c r="J223" s="88"/>
      <c r="K223" s="88"/>
      <c r="L223" s="88"/>
    </row>
    <row r="224" ht="20.75" spans="2:12">
      <c r="B224" s="88"/>
      <c r="C224" s="106" t="s">
        <v>54</v>
      </c>
      <c r="D224" s="106" t="s">
        <v>252</v>
      </c>
      <c r="E224" s="106" t="s">
        <v>249</v>
      </c>
      <c r="F224" s="106" t="s">
        <v>253</v>
      </c>
      <c r="G224" s="87"/>
      <c r="H224" s="87"/>
      <c r="I224" s="88"/>
      <c r="J224" s="88"/>
      <c r="K224" s="88"/>
      <c r="L224" s="88"/>
    </row>
    <row r="225" spans="2:12">
      <c r="B225" s="86"/>
      <c r="C225" s="87"/>
      <c r="D225" s="87"/>
      <c r="E225" s="87"/>
      <c r="F225" s="87"/>
      <c r="G225" s="87"/>
      <c r="H225" s="87"/>
      <c r="I225" s="88"/>
      <c r="J225" s="88"/>
      <c r="K225" s="88"/>
      <c r="L225" s="88"/>
    </row>
    <row r="226" spans="2:12">
      <c r="B226" s="94" t="s">
        <v>254</v>
      </c>
      <c r="C226" s="87"/>
      <c r="D226" s="87"/>
      <c r="E226" s="87"/>
      <c r="F226" s="87"/>
      <c r="G226" s="87"/>
      <c r="H226" s="87"/>
      <c r="I226" s="88"/>
      <c r="J226" s="88"/>
      <c r="K226" s="88"/>
      <c r="L226" s="88"/>
    </row>
    <row r="227" ht="15" spans="2:12">
      <c r="B227" s="95" t="s">
        <v>255</v>
      </c>
      <c r="C227" s="87"/>
      <c r="D227" s="87"/>
      <c r="E227" s="87"/>
      <c r="F227" s="87"/>
      <c r="G227" s="87"/>
      <c r="H227" s="87"/>
      <c r="I227" s="88"/>
      <c r="J227" s="88"/>
      <c r="K227" s="88"/>
      <c r="L227" s="88"/>
    </row>
    <row r="228" spans="2:12">
      <c r="B228" s="86"/>
      <c r="C228" s="87"/>
      <c r="D228" s="87"/>
      <c r="E228" s="87"/>
      <c r="F228" s="87"/>
      <c r="G228" s="87"/>
      <c r="H228" s="87"/>
      <c r="I228" s="88"/>
      <c r="J228" s="88"/>
      <c r="K228" s="88"/>
      <c r="L228" s="88"/>
    </row>
    <row r="229" spans="2:12">
      <c r="B229" s="94" t="s">
        <v>256</v>
      </c>
      <c r="C229" s="87"/>
      <c r="D229" s="87"/>
      <c r="E229" s="87"/>
      <c r="F229" s="87"/>
      <c r="G229" s="87"/>
      <c r="H229" s="87"/>
      <c r="I229" s="88"/>
      <c r="J229" s="88"/>
      <c r="K229" s="88"/>
      <c r="L229" s="88"/>
    </row>
    <row r="230" spans="2:12">
      <c r="B230" s="86"/>
      <c r="C230" s="87"/>
      <c r="D230" s="87"/>
      <c r="E230" s="87"/>
      <c r="F230" s="87"/>
      <c r="G230" s="87"/>
      <c r="H230" s="87"/>
      <c r="I230" s="88"/>
      <c r="J230" s="88"/>
      <c r="K230" s="88"/>
      <c r="L230" s="88"/>
    </row>
    <row r="231" spans="2:12">
      <c r="B231" s="94" t="s">
        <v>257</v>
      </c>
      <c r="C231" s="87"/>
      <c r="D231" s="87"/>
      <c r="E231" s="87"/>
      <c r="F231" s="87"/>
      <c r="G231" s="87"/>
      <c r="H231" s="87"/>
      <c r="I231" s="88"/>
      <c r="J231" s="88"/>
      <c r="K231" s="88"/>
      <c r="L231" s="88"/>
    </row>
    <row r="232" spans="2:12">
      <c r="B232" s="86"/>
      <c r="C232" s="87"/>
      <c r="D232" s="87"/>
      <c r="E232" s="87"/>
      <c r="F232" s="87"/>
      <c r="G232" s="87"/>
      <c r="H232" s="87"/>
      <c r="I232" s="88"/>
      <c r="J232" s="88"/>
      <c r="K232" s="88"/>
      <c r="L232" s="88"/>
    </row>
    <row r="233" spans="2:12">
      <c r="B233" s="94" t="s">
        <v>258</v>
      </c>
      <c r="C233" s="87"/>
      <c r="D233" s="87"/>
      <c r="E233" s="87"/>
      <c r="F233" s="87"/>
      <c r="G233" s="87"/>
      <c r="H233" s="87"/>
      <c r="I233" s="88"/>
      <c r="J233" s="88"/>
      <c r="K233" s="88"/>
      <c r="L233" s="88"/>
    </row>
    <row r="234" spans="2:12">
      <c r="B234" s="86"/>
      <c r="C234" s="87"/>
      <c r="D234" s="87"/>
      <c r="E234" s="87"/>
      <c r="F234" s="87"/>
      <c r="G234" s="87"/>
      <c r="H234" s="87"/>
      <c r="I234" s="88"/>
      <c r="J234" s="88"/>
      <c r="K234" s="88"/>
      <c r="L234" s="88"/>
    </row>
    <row r="235" spans="2:12">
      <c r="B235" s="94" t="s">
        <v>259</v>
      </c>
      <c r="C235" s="87"/>
      <c r="D235" s="87"/>
      <c r="E235" s="87"/>
      <c r="F235" s="87"/>
      <c r="G235" s="87"/>
      <c r="H235" s="87"/>
      <c r="I235" s="88"/>
      <c r="J235" s="88"/>
      <c r="K235" s="88"/>
      <c r="L235" s="88"/>
    </row>
    <row r="236" ht="15" spans="2:12">
      <c r="B236" s="95" t="s">
        <v>260</v>
      </c>
      <c r="C236" s="87"/>
      <c r="D236" s="87"/>
      <c r="E236" s="87"/>
      <c r="F236" s="87"/>
      <c r="G236" s="87"/>
      <c r="H236" s="87"/>
      <c r="I236" s="88"/>
      <c r="J236" s="88"/>
      <c r="K236" s="88"/>
      <c r="L236" s="88"/>
    </row>
    <row r="237" spans="2:12">
      <c r="B237" s="86"/>
      <c r="C237" s="87"/>
      <c r="D237" s="87"/>
      <c r="E237" s="87"/>
      <c r="F237" s="87"/>
      <c r="G237" s="87"/>
      <c r="H237" s="87"/>
      <c r="I237" s="88"/>
      <c r="J237" s="88"/>
      <c r="K237" s="88"/>
      <c r="L237" s="88"/>
    </row>
    <row r="238" spans="2:12">
      <c r="B238" s="94" t="s">
        <v>261</v>
      </c>
      <c r="C238" s="87"/>
      <c r="D238" s="87"/>
      <c r="E238" s="87"/>
      <c r="F238" s="87"/>
      <c r="G238" s="87"/>
      <c r="H238" s="87"/>
      <c r="I238" s="88"/>
      <c r="J238" s="88"/>
      <c r="K238" s="88"/>
      <c r="L238" s="88"/>
    </row>
    <row r="239" ht="15" spans="2:12">
      <c r="B239" s="95" t="s">
        <v>262</v>
      </c>
      <c r="C239" s="87"/>
      <c r="D239" s="87"/>
      <c r="E239" s="87"/>
      <c r="F239" s="87"/>
      <c r="G239" s="87"/>
      <c r="H239" s="87"/>
      <c r="I239" s="88"/>
      <c r="J239" s="88"/>
      <c r="K239" s="88"/>
      <c r="L239" s="88"/>
    </row>
    <row r="240" spans="2:12">
      <c r="B240" s="86"/>
      <c r="C240" s="87"/>
      <c r="D240" s="87"/>
      <c r="E240" s="87"/>
      <c r="F240" s="87"/>
      <c r="G240" s="87"/>
      <c r="H240" s="87"/>
      <c r="I240" s="88"/>
      <c r="J240" s="88"/>
      <c r="K240" s="88"/>
      <c r="L240" s="88"/>
    </row>
    <row r="241" spans="2:12">
      <c r="B241" s="94" t="s">
        <v>263</v>
      </c>
      <c r="C241" s="87"/>
      <c r="D241" s="87"/>
      <c r="E241" s="87"/>
      <c r="F241" s="87"/>
      <c r="G241" s="87"/>
      <c r="H241" s="87"/>
      <c r="I241" s="88"/>
      <c r="J241" s="88"/>
      <c r="K241" s="88"/>
      <c r="L241" s="88"/>
    </row>
    <row r="242" ht="15" spans="2:12">
      <c r="B242" s="95" t="s">
        <v>264</v>
      </c>
      <c r="C242" s="87"/>
      <c r="D242" s="87"/>
      <c r="E242" s="87"/>
      <c r="F242" s="87"/>
      <c r="G242" s="87"/>
      <c r="H242" s="87"/>
      <c r="I242" s="88"/>
      <c r="J242" s="88"/>
      <c r="K242" s="88"/>
      <c r="L242" s="88"/>
    </row>
    <row r="243" spans="2:12">
      <c r="B243" s="86"/>
      <c r="C243" s="87"/>
      <c r="D243" s="87"/>
      <c r="E243" s="87"/>
      <c r="F243" s="87"/>
      <c r="G243" s="87"/>
      <c r="H243" s="87"/>
      <c r="I243" s="88"/>
      <c r="J243" s="88"/>
      <c r="K243" s="88"/>
      <c r="L243" s="88"/>
    </row>
    <row r="244" spans="2:12">
      <c r="B244" s="94" t="s">
        <v>265</v>
      </c>
      <c r="C244" s="87"/>
      <c r="D244" s="87"/>
      <c r="E244" s="87"/>
      <c r="F244" s="87"/>
      <c r="G244" s="87"/>
      <c r="H244" s="87"/>
      <c r="I244" s="88"/>
      <c r="J244" s="88"/>
      <c r="K244" s="88"/>
      <c r="L244" s="88"/>
    </row>
    <row r="245" ht="15" spans="2:12">
      <c r="B245" s="95" t="s">
        <v>266</v>
      </c>
      <c r="C245" s="87"/>
      <c r="D245" s="87"/>
      <c r="E245" s="87"/>
      <c r="F245" s="87"/>
      <c r="G245" s="87"/>
      <c r="H245" s="87"/>
      <c r="I245" s="88"/>
      <c r="J245" s="88"/>
      <c r="K245" s="88"/>
      <c r="L245" s="88"/>
    </row>
    <row r="246" spans="2:12">
      <c r="B246" s="86"/>
      <c r="C246" s="87"/>
      <c r="D246" s="87"/>
      <c r="E246" s="87"/>
      <c r="F246" s="87"/>
      <c r="G246" s="87"/>
      <c r="H246" s="87"/>
      <c r="I246" s="88"/>
      <c r="J246" s="88"/>
      <c r="K246" s="88"/>
      <c r="L246" s="88"/>
    </row>
    <row r="247" spans="2:12">
      <c r="B247" s="94" t="s">
        <v>267</v>
      </c>
      <c r="C247" s="87"/>
      <c r="D247" s="87"/>
      <c r="E247" s="87"/>
      <c r="F247" s="87"/>
      <c r="G247" s="87"/>
      <c r="H247" s="87"/>
      <c r="I247" s="88"/>
      <c r="J247" s="88"/>
      <c r="K247" s="88"/>
      <c r="L247" s="88"/>
    </row>
    <row r="248" spans="2:12">
      <c r="B248" s="88"/>
      <c r="C248" s="88"/>
      <c r="D248" s="88"/>
      <c r="E248" s="88"/>
      <c r="F248" s="88"/>
      <c r="G248" s="88"/>
      <c r="H248" s="87"/>
      <c r="I248" s="88"/>
      <c r="J248" s="88"/>
      <c r="K248" s="88"/>
      <c r="L248" s="88"/>
    </row>
    <row r="249" spans="2:12">
      <c r="B249" s="88"/>
      <c r="C249" s="88"/>
      <c r="D249" s="88"/>
      <c r="E249" s="88"/>
      <c r="F249" s="88"/>
      <c r="G249" s="88"/>
      <c r="H249" s="87"/>
      <c r="I249" s="88"/>
      <c r="J249" s="88"/>
      <c r="K249" s="88"/>
      <c r="L249" s="88"/>
    </row>
    <row r="250" spans="2:12">
      <c r="B250" s="88"/>
      <c r="C250" s="88"/>
      <c r="D250" s="88"/>
      <c r="E250" s="88"/>
      <c r="F250" s="88"/>
      <c r="G250" s="88"/>
      <c r="H250" s="87"/>
      <c r="I250" s="88"/>
      <c r="J250" s="88"/>
      <c r="K250" s="88"/>
      <c r="L250" s="88"/>
    </row>
    <row r="251" spans="2:12">
      <c r="B251" s="88"/>
      <c r="C251" s="88"/>
      <c r="D251" s="88"/>
      <c r="E251" s="88"/>
      <c r="F251" s="88"/>
      <c r="G251" s="88"/>
      <c r="H251" s="87"/>
      <c r="I251" s="88"/>
      <c r="J251" s="88"/>
      <c r="K251" s="88"/>
      <c r="L251" s="88"/>
    </row>
    <row r="252" spans="2:12">
      <c r="B252" s="88"/>
      <c r="C252" s="88"/>
      <c r="D252" s="88"/>
      <c r="E252" s="88"/>
      <c r="F252" s="88"/>
      <c r="G252" s="88"/>
      <c r="H252" s="87"/>
      <c r="I252" s="88"/>
      <c r="J252" s="88"/>
      <c r="K252" s="88"/>
      <c r="L252" s="88"/>
    </row>
    <row r="253" spans="2:12">
      <c r="B253" s="88"/>
      <c r="C253" s="87"/>
      <c r="D253" s="87"/>
      <c r="E253" s="87"/>
      <c r="F253" s="87"/>
      <c r="G253" s="87"/>
      <c r="H253" s="87"/>
      <c r="I253" s="88"/>
      <c r="J253" s="88"/>
      <c r="K253" s="88"/>
      <c r="L253" s="88"/>
    </row>
    <row r="254" ht="14.75" spans="2:12">
      <c r="B254" s="88"/>
      <c r="C254" s="87"/>
      <c r="D254" s="87"/>
      <c r="E254" s="87"/>
      <c r="F254" s="87"/>
      <c r="G254" s="87"/>
      <c r="H254" s="87"/>
      <c r="I254" s="88"/>
      <c r="J254" s="88"/>
      <c r="K254" s="88"/>
      <c r="L254" s="88"/>
    </row>
    <row r="255" ht="50.75" spans="2:12">
      <c r="B255" s="88"/>
      <c r="C255" s="88"/>
      <c r="D255" s="87"/>
      <c r="E255" s="107" t="s">
        <v>268</v>
      </c>
      <c r="F255" s="107" t="s">
        <v>269</v>
      </c>
      <c r="G255" s="87"/>
      <c r="H255" s="87"/>
      <c r="I255" s="88"/>
      <c r="J255" s="88"/>
      <c r="K255" s="88"/>
      <c r="L255" s="88"/>
    </row>
    <row r="256" ht="38.25" spans="2:12">
      <c r="B256" s="88"/>
      <c r="C256" s="88"/>
      <c r="D256" s="87"/>
      <c r="E256" s="108" t="s">
        <v>270</v>
      </c>
      <c r="F256" s="108" t="s">
        <v>270</v>
      </c>
      <c r="G256" s="87"/>
      <c r="H256" s="87"/>
      <c r="I256" s="88"/>
      <c r="J256" s="88"/>
      <c r="K256" s="88"/>
      <c r="L256" s="88"/>
    </row>
    <row r="257" ht="25.75" spans="2:12">
      <c r="B257" s="88"/>
      <c r="C257" s="88"/>
      <c r="D257" s="87"/>
      <c r="E257" s="108" t="s">
        <v>271</v>
      </c>
      <c r="F257" s="108" t="s">
        <v>271</v>
      </c>
      <c r="G257" s="87"/>
      <c r="H257" s="87"/>
      <c r="I257" s="88"/>
      <c r="J257" s="88"/>
      <c r="K257" s="88"/>
      <c r="L257" s="88"/>
    </row>
    <row r="258" ht="14.75" spans="2:12">
      <c r="B258" s="88"/>
      <c r="C258" s="88"/>
      <c r="D258" s="87"/>
      <c r="E258" s="108" t="s">
        <v>272</v>
      </c>
      <c r="F258" s="108" t="s">
        <v>272</v>
      </c>
      <c r="G258" s="87"/>
      <c r="H258" s="87"/>
      <c r="I258" s="88"/>
      <c r="J258" s="88"/>
      <c r="K258" s="88"/>
      <c r="L258" s="88"/>
    </row>
    <row r="259" spans="2:12"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</row>
    <row r="260" spans="2:12">
      <c r="B260" s="109"/>
      <c r="C260" s="109"/>
      <c r="D260" s="109"/>
      <c r="E260" s="109"/>
      <c r="F260" s="72" t="s">
        <v>273</v>
      </c>
      <c r="G260" s="109"/>
      <c r="H260" s="109"/>
      <c r="I260" s="109"/>
      <c r="J260" s="109"/>
      <c r="K260" s="109"/>
      <c r="L260" s="109"/>
    </row>
    <row r="261" spans="2:12"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</row>
    <row r="262" ht="23" spans="2:12">
      <c r="B262" s="84" t="s">
        <v>274</v>
      </c>
      <c r="C262" s="84"/>
      <c r="D262" s="84"/>
      <c r="E262" s="84"/>
      <c r="F262" s="84"/>
      <c r="G262" s="84"/>
      <c r="H262" s="84"/>
      <c r="I262" s="84"/>
      <c r="J262" s="84"/>
      <c r="K262" s="84"/>
      <c r="L262" s="84"/>
    </row>
    <row r="263" spans="2:12">
      <c r="B263" s="86"/>
      <c r="C263" s="87"/>
      <c r="D263" s="87"/>
      <c r="E263" s="87"/>
      <c r="F263" s="87"/>
      <c r="G263" s="87"/>
      <c r="H263" s="87"/>
      <c r="I263" s="87"/>
      <c r="J263" s="88"/>
      <c r="K263" s="88"/>
      <c r="L263" s="88"/>
    </row>
    <row r="264" ht="14.75" spans="2:12">
      <c r="B264" s="89" t="s">
        <v>275</v>
      </c>
      <c r="C264" s="87"/>
      <c r="D264" s="87"/>
      <c r="E264" s="87"/>
      <c r="F264" s="87"/>
      <c r="G264" s="87"/>
      <c r="H264" s="87"/>
      <c r="I264" s="87"/>
      <c r="J264" s="110"/>
      <c r="K264" s="110"/>
      <c r="L264" s="110"/>
    </row>
    <row r="265" spans="2:12">
      <c r="B265" s="110"/>
      <c r="C265" s="111" t="s">
        <v>276</v>
      </c>
      <c r="D265" s="112" t="s">
        <v>219</v>
      </c>
      <c r="E265" s="113"/>
      <c r="F265" s="87"/>
      <c r="G265" s="87"/>
      <c r="H265" s="87"/>
      <c r="I265" s="87"/>
      <c r="J265" s="110"/>
      <c r="K265" s="110"/>
      <c r="L265" s="110"/>
    </row>
    <row r="266" ht="25" spans="2:12">
      <c r="B266" s="110"/>
      <c r="C266" s="114" t="s">
        <v>277</v>
      </c>
      <c r="D266" s="112" t="s">
        <v>278</v>
      </c>
      <c r="E266" s="113"/>
      <c r="F266" s="87"/>
      <c r="G266" s="87"/>
      <c r="H266" s="87"/>
      <c r="I266" s="87"/>
      <c r="J266" s="110"/>
      <c r="K266" s="110"/>
      <c r="L266" s="110"/>
    </row>
    <row r="267" spans="2:12">
      <c r="B267" s="110"/>
      <c r="C267" s="114" t="s">
        <v>279</v>
      </c>
      <c r="D267" s="112" t="s">
        <v>223</v>
      </c>
      <c r="E267" s="113"/>
      <c r="F267" s="87"/>
      <c r="G267" s="87"/>
      <c r="H267" s="87"/>
      <c r="I267" s="87"/>
      <c r="J267" s="110"/>
      <c r="K267" s="110"/>
      <c r="L267" s="110"/>
    </row>
    <row r="268" spans="2:12">
      <c r="B268" s="110"/>
      <c r="C268" s="114" t="s">
        <v>145</v>
      </c>
      <c r="D268" s="112" t="s">
        <v>280</v>
      </c>
      <c r="E268" s="113"/>
      <c r="F268" s="87"/>
      <c r="G268" s="87"/>
      <c r="H268" s="87"/>
      <c r="I268" s="87"/>
      <c r="J268" s="110"/>
      <c r="K268" s="110"/>
      <c r="L268" s="110"/>
    </row>
    <row r="269" spans="2:12">
      <c r="B269" s="110"/>
      <c r="C269" s="114" t="s">
        <v>281</v>
      </c>
      <c r="D269" s="115" t="s">
        <v>282</v>
      </c>
      <c r="E269" s="113"/>
      <c r="F269" s="87"/>
      <c r="G269" s="87"/>
      <c r="H269" s="87"/>
      <c r="I269" s="87"/>
      <c r="J269" s="110"/>
      <c r="K269" s="110"/>
      <c r="L269" s="110"/>
    </row>
    <row r="270" spans="2:12">
      <c r="B270" s="86"/>
      <c r="C270" s="116"/>
      <c r="D270" s="116"/>
      <c r="E270" s="116"/>
      <c r="F270" s="87"/>
      <c r="G270" s="87"/>
      <c r="H270" s="87"/>
      <c r="I270" s="87"/>
      <c r="J270" s="110"/>
      <c r="K270" s="110"/>
      <c r="L270" s="110"/>
    </row>
    <row r="271" spans="2:12">
      <c r="B271" s="94" t="s">
        <v>283</v>
      </c>
      <c r="C271" s="87"/>
      <c r="D271" s="87"/>
      <c r="E271" s="87"/>
      <c r="F271" s="87"/>
      <c r="G271" s="87"/>
      <c r="H271" s="87"/>
      <c r="I271" s="87"/>
      <c r="J271" s="110"/>
      <c r="K271" s="110"/>
      <c r="L271" s="110"/>
    </row>
    <row r="272" ht="15.5" spans="2:12">
      <c r="B272" s="95" t="s">
        <v>284</v>
      </c>
      <c r="C272" s="87"/>
      <c r="D272" s="87"/>
      <c r="E272" s="87"/>
      <c r="F272" s="87"/>
      <c r="G272" s="87"/>
      <c r="H272" s="87"/>
      <c r="I272" s="87"/>
      <c r="J272" s="110"/>
      <c r="K272" s="110"/>
      <c r="L272" s="110"/>
    </row>
    <row r="273" ht="14.75" spans="2:12">
      <c r="B273" s="87"/>
      <c r="C273" s="117" t="s">
        <v>231</v>
      </c>
      <c r="D273" s="117" t="s">
        <v>43</v>
      </c>
      <c r="E273" s="117" t="s">
        <v>9</v>
      </c>
      <c r="F273" s="117" t="s">
        <v>285</v>
      </c>
      <c r="G273" s="117" t="s">
        <v>286</v>
      </c>
      <c r="H273" s="117" t="s">
        <v>287</v>
      </c>
      <c r="I273" s="117" t="s">
        <v>288</v>
      </c>
      <c r="J273" s="117" t="s">
        <v>289</v>
      </c>
      <c r="K273" s="110"/>
      <c r="L273" s="110"/>
    </row>
    <row r="274" ht="14.75" spans="2:12">
      <c r="B274" s="87"/>
      <c r="C274" s="118">
        <v>1</v>
      </c>
      <c r="D274" s="119" t="s">
        <v>55</v>
      </c>
      <c r="E274" s="119" t="s">
        <v>83</v>
      </c>
      <c r="F274" s="118">
        <v>629</v>
      </c>
      <c r="G274" s="118">
        <v>24</v>
      </c>
      <c r="H274" s="118">
        <v>23</v>
      </c>
      <c r="I274" s="120">
        <v>23.5</v>
      </c>
      <c r="J274" s="121">
        <f>F274*I274</f>
        <v>14781.5</v>
      </c>
      <c r="K274" s="110"/>
      <c r="L274" s="110"/>
    </row>
    <row r="275" ht="14.75" spans="2:12">
      <c r="B275" s="87"/>
      <c r="C275" s="118">
        <v>2</v>
      </c>
      <c r="D275" s="119" t="s">
        <v>56</v>
      </c>
      <c r="E275" s="119" t="s">
        <v>83</v>
      </c>
      <c r="F275" s="118">
        <v>1704</v>
      </c>
      <c r="G275" s="118">
        <v>80</v>
      </c>
      <c r="H275" s="118">
        <v>78</v>
      </c>
      <c r="I275" s="120">
        <v>79</v>
      </c>
      <c r="J275" s="121">
        <f>F275*I275</f>
        <v>134616</v>
      </c>
      <c r="K275" s="110"/>
      <c r="L275" s="110"/>
    </row>
    <row r="276" spans="2:12">
      <c r="B276" s="87"/>
      <c r="C276" s="122" t="s">
        <v>57</v>
      </c>
      <c r="D276" s="123"/>
      <c r="E276" s="123"/>
      <c r="F276" s="123"/>
      <c r="G276" s="123"/>
      <c r="H276" s="123"/>
      <c r="I276" s="124"/>
      <c r="J276" s="125">
        <f>SUM(J274:J275)</f>
        <v>149397.5</v>
      </c>
      <c r="K276" s="110"/>
      <c r="L276" s="110"/>
    </row>
    <row r="277" spans="2:12">
      <c r="B277" s="86"/>
      <c r="C277" s="126" t="s">
        <v>290</v>
      </c>
      <c r="D277" s="126"/>
      <c r="E277" s="126"/>
      <c r="F277" s="126"/>
      <c r="G277" s="126"/>
      <c r="H277" s="126"/>
      <c r="I277" s="126"/>
      <c r="J277" s="126"/>
      <c r="K277" s="110"/>
      <c r="L277" s="110"/>
    </row>
    <row r="278" spans="2:12">
      <c r="B278" s="86"/>
      <c r="C278" s="87"/>
      <c r="D278" s="87"/>
      <c r="E278" s="87"/>
      <c r="F278" s="87"/>
      <c r="G278" s="87"/>
      <c r="H278" s="87"/>
      <c r="I278" s="87"/>
      <c r="J278" s="110"/>
      <c r="K278" s="110"/>
      <c r="L278" s="110"/>
    </row>
    <row r="279" spans="2:12">
      <c r="B279" s="94" t="s">
        <v>291</v>
      </c>
      <c r="C279" s="87"/>
      <c r="D279" s="87"/>
      <c r="E279" s="87"/>
      <c r="F279" s="87"/>
      <c r="G279" s="87"/>
      <c r="H279" s="87"/>
      <c r="I279" s="87"/>
      <c r="J279" s="110"/>
      <c r="K279" s="110"/>
      <c r="L279" s="110"/>
    </row>
    <row r="280" spans="2:12">
      <c r="B280" s="86"/>
      <c r="C280" s="87"/>
      <c r="D280" s="87"/>
      <c r="E280" s="87"/>
      <c r="F280" s="87"/>
      <c r="G280" s="87"/>
      <c r="H280" s="87"/>
      <c r="I280" s="87"/>
      <c r="J280" s="110"/>
      <c r="K280" s="110"/>
      <c r="L280" s="110"/>
    </row>
    <row r="281" spans="2:12">
      <c r="B281" s="94" t="s">
        <v>292</v>
      </c>
      <c r="C281" s="87"/>
      <c r="D281" s="87"/>
      <c r="E281" s="87"/>
      <c r="F281" s="87"/>
      <c r="G281" s="87"/>
      <c r="H281" s="87"/>
      <c r="I281" s="87"/>
      <c r="J281" s="110"/>
      <c r="K281" s="110"/>
      <c r="L281" s="110"/>
    </row>
    <row r="282" ht="15.5" spans="2:12">
      <c r="B282" s="95" t="s">
        <v>293</v>
      </c>
      <c r="C282" s="87"/>
      <c r="D282" s="87"/>
      <c r="E282" s="87"/>
      <c r="F282" s="87"/>
      <c r="G282" s="87"/>
      <c r="H282" s="87"/>
      <c r="I282" s="87"/>
      <c r="J282" s="110"/>
      <c r="K282" s="110"/>
      <c r="L282" s="110"/>
    </row>
    <row r="283" spans="2:12">
      <c r="B283" s="86"/>
      <c r="C283" s="87"/>
      <c r="D283" s="87"/>
      <c r="E283" s="87"/>
      <c r="F283" s="87"/>
      <c r="G283" s="87"/>
      <c r="H283" s="87"/>
      <c r="I283" s="87"/>
      <c r="J283" s="110"/>
      <c r="K283" s="110"/>
      <c r="L283" s="110"/>
    </row>
    <row r="284" spans="2:12">
      <c r="B284" s="127" t="s">
        <v>294</v>
      </c>
      <c r="C284" s="87"/>
      <c r="D284" s="87"/>
      <c r="E284" s="87"/>
      <c r="F284" s="87"/>
      <c r="G284" s="87"/>
      <c r="H284" s="87"/>
      <c r="I284" s="87"/>
      <c r="J284" s="110"/>
      <c r="K284" s="110"/>
      <c r="L284" s="110"/>
    </row>
    <row r="285" spans="2:12">
      <c r="B285" s="86"/>
      <c r="C285" s="87"/>
      <c r="D285" s="87"/>
      <c r="E285" s="87"/>
      <c r="F285" s="87"/>
      <c r="G285" s="87"/>
      <c r="H285" s="87"/>
      <c r="I285" s="87"/>
      <c r="J285" s="110"/>
      <c r="K285" s="110"/>
      <c r="L285" s="110"/>
    </row>
    <row r="286" spans="2:12">
      <c r="B286" s="127" t="s">
        <v>295</v>
      </c>
      <c r="C286" s="87"/>
      <c r="D286" s="87"/>
      <c r="E286" s="87"/>
      <c r="F286" s="87"/>
      <c r="G286" s="87"/>
      <c r="H286" s="87"/>
      <c r="I286" s="87"/>
      <c r="J286" s="110"/>
      <c r="K286" s="110"/>
      <c r="L286" s="110"/>
    </row>
    <row r="287" spans="2:12">
      <c r="B287" s="86"/>
      <c r="C287" s="87"/>
      <c r="D287" s="87"/>
      <c r="E287" s="87"/>
      <c r="F287" s="87"/>
      <c r="G287" s="87"/>
      <c r="H287" s="87"/>
      <c r="I287" s="87"/>
      <c r="J287" s="110"/>
      <c r="K287" s="110"/>
      <c r="L287" s="110"/>
    </row>
    <row r="288" spans="2:12">
      <c r="B288" s="127" t="s">
        <v>296</v>
      </c>
      <c r="C288" s="87"/>
      <c r="D288" s="87"/>
      <c r="E288" s="87"/>
      <c r="F288" s="87"/>
      <c r="G288" s="87"/>
      <c r="H288" s="87"/>
      <c r="I288" s="87"/>
      <c r="J288" s="110"/>
      <c r="K288" s="110"/>
      <c r="L288" s="110"/>
    </row>
    <row r="289" ht="15.5" spans="2:12">
      <c r="B289" s="95" t="s">
        <v>297</v>
      </c>
      <c r="C289" s="87"/>
      <c r="D289" s="87"/>
      <c r="E289" s="87"/>
      <c r="F289" s="87"/>
      <c r="G289" s="87"/>
      <c r="H289" s="87"/>
      <c r="I289" s="87"/>
      <c r="J289" s="110"/>
      <c r="K289" s="110"/>
      <c r="L289" s="110"/>
    </row>
    <row r="290" ht="14.75" spans="2:12">
      <c r="B290" s="87"/>
      <c r="C290" s="96" t="s">
        <v>43</v>
      </c>
      <c r="D290" s="96" t="s">
        <v>298</v>
      </c>
      <c r="E290" s="96" t="s">
        <v>299</v>
      </c>
      <c r="F290" s="96" t="s">
        <v>247</v>
      </c>
      <c r="G290" s="87"/>
      <c r="H290" s="87"/>
      <c r="I290" s="87"/>
      <c r="J290" s="110"/>
      <c r="K290" s="110"/>
      <c r="L290" s="110"/>
    </row>
    <row r="291" ht="20" spans="2:12">
      <c r="B291" s="87"/>
      <c r="C291" s="128" t="s">
        <v>55</v>
      </c>
      <c r="D291" s="128" t="s">
        <v>300</v>
      </c>
      <c r="E291" s="128" t="s">
        <v>301</v>
      </c>
      <c r="F291" s="128" t="s">
        <v>302</v>
      </c>
      <c r="G291" s="87"/>
      <c r="H291" s="87"/>
      <c r="I291" s="87"/>
      <c r="J291" s="110"/>
      <c r="K291" s="110"/>
      <c r="L291" s="110"/>
    </row>
    <row r="292" ht="20" spans="2:12">
      <c r="B292" s="87"/>
      <c r="C292" s="128" t="s">
        <v>56</v>
      </c>
      <c r="D292" s="128" t="s">
        <v>300</v>
      </c>
      <c r="E292" s="128" t="s">
        <v>301</v>
      </c>
      <c r="F292" s="128" t="s">
        <v>302</v>
      </c>
      <c r="G292" s="87"/>
      <c r="H292" s="87"/>
      <c r="I292" s="87"/>
      <c r="J292" s="110"/>
      <c r="K292" s="110"/>
      <c r="L292" s="110"/>
    </row>
    <row r="293" ht="15.5" spans="2:12">
      <c r="B293" s="95" t="s">
        <v>303</v>
      </c>
      <c r="C293" s="87"/>
      <c r="D293" s="87"/>
      <c r="E293" s="87"/>
      <c r="F293" s="87"/>
      <c r="G293" s="87"/>
      <c r="H293" s="87"/>
      <c r="I293" s="87"/>
      <c r="J293" s="110"/>
      <c r="K293" s="110"/>
      <c r="L293" s="110"/>
    </row>
    <row r="294" spans="2:12">
      <c r="B294" s="86"/>
      <c r="C294" s="87"/>
      <c r="D294" s="87"/>
      <c r="E294" s="87"/>
      <c r="F294" s="87"/>
      <c r="G294" s="87"/>
      <c r="H294" s="87"/>
      <c r="I294" s="87"/>
      <c r="J294" s="110"/>
      <c r="K294" s="110"/>
      <c r="L294" s="110"/>
    </row>
    <row r="295" spans="2:12">
      <c r="B295" s="94" t="s">
        <v>304</v>
      </c>
      <c r="C295" s="87"/>
      <c r="D295" s="87"/>
      <c r="E295" s="87"/>
      <c r="F295" s="87"/>
      <c r="G295" s="87"/>
      <c r="H295" s="87"/>
      <c r="I295" s="87"/>
      <c r="J295" s="110"/>
      <c r="K295" s="110"/>
      <c r="L295" s="110"/>
    </row>
    <row r="296" spans="2:12">
      <c r="B296" s="86"/>
      <c r="C296" s="87"/>
      <c r="D296" s="87"/>
      <c r="E296" s="87"/>
      <c r="F296" s="87"/>
      <c r="G296" s="87"/>
      <c r="H296" s="87"/>
      <c r="I296" s="87"/>
      <c r="J296" s="110"/>
      <c r="K296" s="110"/>
      <c r="L296" s="110"/>
    </row>
    <row r="297" spans="2:12">
      <c r="B297" s="94" t="s">
        <v>305</v>
      </c>
      <c r="C297" s="87"/>
      <c r="D297" s="87"/>
      <c r="E297" s="87"/>
      <c r="F297" s="87"/>
      <c r="G297" s="87"/>
      <c r="H297" s="87"/>
      <c r="I297" s="87"/>
      <c r="J297" s="110"/>
      <c r="K297" s="110"/>
      <c r="L297" s="110"/>
    </row>
    <row r="298" ht="15.5" spans="2:12">
      <c r="B298" s="95" t="s">
        <v>306</v>
      </c>
      <c r="C298" s="87"/>
      <c r="D298" s="87"/>
      <c r="E298" s="87"/>
      <c r="F298" s="87"/>
      <c r="G298" s="87"/>
      <c r="H298" s="87"/>
      <c r="I298" s="87"/>
      <c r="J298" s="110"/>
      <c r="K298" s="110"/>
      <c r="L298" s="110"/>
    </row>
    <row r="299" spans="2:12">
      <c r="B299" s="86"/>
      <c r="C299" s="87"/>
      <c r="D299" s="87"/>
      <c r="E299" s="87"/>
      <c r="F299" s="87"/>
      <c r="G299" s="87"/>
      <c r="H299" s="87"/>
      <c r="I299" s="87"/>
      <c r="J299" s="110"/>
      <c r="K299" s="110"/>
      <c r="L299" s="110"/>
    </row>
    <row r="300" spans="2:12">
      <c r="B300" s="94" t="s">
        <v>307</v>
      </c>
      <c r="C300" s="87"/>
      <c r="D300" s="87"/>
      <c r="E300" s="87"/>
      <c r="F300" s="87"/>
      <c r="G300" s="87"/>
      <c r="H300" s="87"/>
      <c r="I300" s="87"/>
      <c r="J300" s="110"/>
      <c r="K300" s="110"/>
      <c r="L300" s="110"/>
    </row>
    <row r="301" ht="15.5" spans="2:12">
      <c r="B301" s="95" t="s">
        <v>308</v>
      </c>
      <c r="C301" s="87"/>
      <c r="D301" s="87"/>
      <c r="E301" s="87"/>
      <c r="F301" s="87"/>
      <c r="G301" s="87"/>
      <c r="H301" s="87"/>
      <c r="I301" s="87"/>
      <c r="J301" s="110"/>
      <c r="K301" s="110"/>
      <c r="L301" s="110"/>
    </row>
    <row r="302" spans="2:12">
      <c r="B302" s="86"/>
      <c r="C302" s="87"/>
      <c r="D302" s="87"/>
      <c r="E302" s="87"/>
      <c r="F302" s="87"/>
      <c r="G302" s="87"/>
      <c r="H302" s="87"/>
      <c r="I302" s="87"/>
      <c r="J302" s="110"/>
      <c r="K302" s="110"/>
      <c r="L302" s="110"/>
    </row>
    <row r="303" spans="2:12">
      <c r="B303" s="94" t="s">
        <v>309</v>
      </c>
      <c r="C303" s="87"/>
      <c r="D303" s="87"/>
      <c r="E303" s="87"/>
      <c r="F303" s="87"/>
      <c r="G303" s="87"/>
      <c r="H303" s="87"/>
      <c r="I303" s="87"/>
      <c r="J303" s="110"/>
      <c r="K303" s="110"/>
      <c r="L303" s="110"/>
    </row>
    <row r="304" ht="15.5" spans="2:12">
      <c r="B304" s="95" t="s">
        <v>310</v>
      </c>
      <c r="C304" s="87"/>
      <c r="D304" s="87"/>
      <c r="E304" s="87"/>
      <c r="F304" s="87"/>
      <c r="G304" s="87"/>
      <c r="H304" s="87"/>
      <c r="I304" s="87"/>
      <c r="J304" s="110"/>
      <c r="K304" s="110"/>
      <c r="L304" s="110"/>
    </row>
    <row r="305" spans="2:12">
      <c r="B305" s="86"/>
      <c r="C305" s="87"/>
      <c r="D305" s="87"/>
      <c r="E305" s="87"/>
      <c r="F305" s="87"/>
      <c r="G305" s="87"/>
      <c r="H305" s="87"/>
      <c r="I305" s="87"/>
      <c r="J305" s="110"/>
      <c r="K305" s="110"/>
      <c r="L305" s="110"/>
    </row>
    <row r="306" spans="2:12">
      <c r="B306" s="94" t="s">
        <v>311</v>
      </c>
      <c r="C306" s="87"/>
      <c r="D306" s="87"/>
      <c r="E306" s="87"/>
      <c r="F306" s="87"/>
      <c r="G306" s="87"/>
      <c r="H306" s="87"/>
      <c r="I306" s="87"/>
      <c r="J306" s="110"/>
      <c r="K306" s="110"/>
      <c r="L306" s="110"/>
    </row>
    <row r="307" spans="2:12">
      <c r="B307" s="86"/>
      <c r="C307" s="87"/>
      <c r="D307" s="87"/>
      <c r="E307" s="87"/>
      <c r="F307" s="87"/>
      <c r="G307" s="87"/>
      <c r="H307" s="87"/>
      <c r="I307" s="87"/>
      <c r="J307" s="110"/>
      <c r="K307" s="110"/>
      <c r="L307" s="110"/>
    </row>
    <row r="308" spans="2:12">
      <c r="B308" s="94" t="s">
        <v>312</v>
      </c>
      <c r="C308" s="87"/>
      <c r="D308" s="87"/>
      <c r="E308" s="87"/>
      <c r="F308" s="87"/>
      <c r="G308" s="87"/>
      <c r="H308" s="87"/>
      <c r="I308" s="87"/>
      <c r="J308" s="110"/>
      <c r="K308" s="110"/>
      <c r="L308" s="110"/>
    </row>
    <row r="309" spans="2:12">
      <c r="B309" s="86"/>
      <c r="C309" s="87"/>
      <c r="D309" s="87"/>
      <c r="E309" s="87"/>
      <c r="F309" s="87"/>
      <c r="G309" s="87"/>
      <c r="H309" s="87"/>
      <c r="I309" s="87"/>
      <c r="J309" s="110"/>
      <c r="K309" s="110"/>
      <c r="L309" s="110"/>
    </row>
    <row r="310" ht="14.75" spans="2:12">
      <c r="B310" s="127" t="s">
        <v>2</v>
      </c>
      <c r="C310" s="87"/>
      <c r="D310" s="87"/>
      <c r="E310" s="87"/>
      <c r="F310" s="87"/>
      <c r="G310" s="87"/>
      <c r="H310" s="87"/>
      <c r="I310" s="87"/>
      <c r="J310" s="110"/>
      <c r="K310" s="110"/>
      <c r="L310" s="110"/>
    </row>
    <row r="311" ht="14.75" spans="2:12">
      <c r="B311" s="87"/>
      <c r="C311" s="87"/>
      <c r="D311" s="87"/>
      <c r="E311" s="107" t="s">
        <v>313</v>
      </c>
      <c r="F311" s="107" t="s">
        <v>314</v>
      </c>
      <c r="G311" s="87"/>
      <c r="H311" s="87"/>
      <c r="I311" s="87"/>
      <c r="J311" s="110"/>
      <c r="K311" s="110"/>
      <c r="L311" s="110"/>
    </row>
    <row r="312" spans="2:12">
      <c r="B312" s="87"/>
      <c r="C312" s="87"/>
      <c r="D312" s="87"/>
      <c r="E312" s="108" t="s">
        <v>315</v>
      </c>
      <c r="F312" s="107" t="s">
        <v>316</v>
      </c>
      <c r="G312" s="87"/>
      <c r="H312" s="87"/>
      <c r="I312" s="87"/>
      <c r="J312" s="110"/>
      <c r="K312" s="110"/>
      <c r="L312" s="110"/>
    </row>
    <row r="313" ht="14.75" spans="2:12">
      <c r="B313" s="87"/>
      <c r="C313" s="87"/>
      <c r="D313" s="87"/>
      <c r="E313" s="108" t="s">
        <v>317</v>
      </c>
      <c r="F313" s="107" t="s">
        <v>317</v>
      </c>
      <c r="G313" s="87"/>
      <c r="H313" s="87"/>
      <c r="I313" s="87"/>
      <c r="J313" s="110"/>
      <c r="K313" s="110"/>
      <c r="L313" s="110"/>
    </row>
    <row r="314" ht="14.75" spans="2:12">
      <c r="B314" s="87"/>
      <c r="C314" s="87"/>
      <c r="D314" s="87"/>
      <c r="E314" s="108" t="s">
        <v>272</v>
      </c>
      <c r="F314" s="107" t="s">
        <v>272</v>
      </c>
      <c r="G314" s="87"/>
      <c r="H314" s="87"/>
      <c r="I314" s="87"/>
      <c r="J314" s="110"/>
      <c r="K314" s="110"/>
      <c r="L314" s="110"/>
    </row>
    <row r="315" spans="2:12">
      <c r="B315" s="86"/>
      <c r="C315" s="87"/>
      <c r="D315" s="87"/>
      <c r="E315" s="87"/>
      <c r="F315" s="87"/>
      <c r="G315" s="87"/>
      <c r="H315" s="87"/>
      <c r="I315" s="87"/>
      <c r="J315" s="110"/>
      <c r="K315" s="110"/>
      <c r="L315" s="110"/>
    </row>
    <row r="316" spans="2:12">
      <c r="B316" s="127" t="s">
        <v>2</v>
      </c>
      <c r="C316" s="87"/>
      <c r="D316" s="87"/>
      <c r="E316" s="87"/>
      <c r="F316" s="87"/>
      <c r="G316" s="87"/>
      <c r="H316" s="87"/>
      <c r="I316" s="87"/>
      <c r="J316" s="110"/>
      <c r="K316" s="110"/>
      <c r="L316" s="110"/>
    </row>
    <row r="317" spans="2:12">
      <c r="F317" s="72" t="s">
        <v>273</v>
      </c>
    </row>
    <row r="322" s="24" customFormat="1"/>
    <row r="324" ht="17.5" spans="1:2">
      <c r="A324" s="54" t="s">
        <v>318</v>
      </c>
    </row>
    <row r="325" ht="17.5" spans="1:2">
      <c r="A325" s="54"/>
    </row>
    <row r="326" ht="17.5" spans="1:2">
      <c r="A326" s="62" t="s">
        <v>319</v>
      </c>
    </row>
    <row r="327" ht="17.5" spans="1:2">
      <c r="A327" s="83" t="s">
        <v>320</v>
      </c>
    </row>
    <row r="328" ht="17.5" spans="1:2">
      <c r="B328" s="83"/>
    </row>
    <row r="329" spans="1:2">
      <c r="B329" s="6" t="s">
        <v>321</v>
      </c>
    </row>
    <row r="330" spans="1:2">
      <c r="B330" s="6" t="s">
        <v>322</v>
      </c>
    </row>
    <row r="331" spans="1:2">
      <c r="B331" s="6" t="s">
        <v>323</v>
      </c>
    </row>
    <row r="332" spans="1:2">
      <c r="B332" s="6" t="s">
        <v>324</v>
      </c>
    </row>
    <row r="333" spans="1:2">
      <c r="B333" s="6" t="s">
        <v>325</v>
      </c>
    </row>
    <row r="334" spans="1:2">
      <c r="B334" s="3"/>
    </row>
    <row r="335" spans="1:2">
      <c r="B335" s="3" t="s">
        <v>326</v>
      </c>
    </row>
    <row r="336" spans="1:2">
      <c r="B336" s="3"/>
    </row>
    <row r="337" spans="1:9">
      <c r="B337" s="6" t="s">
        <v>327</v>
      </c>
    </row>
    <row r="338" spans="1:9">
      <c r="B338" s="3" t="s">
        <v>328</v>
      </c>
    </row>
    <row r="339" spans="1:9">
      <c r="B339" s="3" t="s">
        <v>329</v>
      </c>
    </row>
    <row r="340" spans="1:9">
      <c r="B340" s="3" t="s">
        <v>330</v>
      </c>
    </row>
    <row r="341" spans="1:9">
      <c r="B341" s="3" t="s">
        <v>331</v>
      </c>
    </row>
    <row r="342" spans="1:9">
      <c r="B342" s="3" t="s">
        <v>332</v>
      </c>
    </row>
    <row r="343" spans="1:9">
      <c r="B343" s="3" t="s">
        <v>333</v>
      </c>
    </row>
    <row r="344" spans="1:9">
      <c r="B344" s="3" t="s">
        <v>334</v>
      </c>
    </row>
    <row r="345" spans="1:9">
      <c r="B345" s="6" t="s">
        <v>335</v>
      </c>
    </row>
    <row r="348" ht="17.5" spans="1:9">
      <c r="A348" s="83" t="s">
        <v>336</v>
      </c>
    </row>
    <row r="349" ht="17.5" spans="1:9">
      <c r="B349" s="83" t="s">
        <v>337</v>
      </c>
    </row>
    <row r="350" ht="17.5" spans="1:9">
      <c r="B350" s="129" t="s">
        <v>2</v>
      </c>
    </row>
    <row r="352" ht="24" customHeight="1" spans="1:9">
      <c r="D352" s="10" t="s">
        <v>28</v>
      </c>
      <c r="E352" s="10" t="s">
        <v>338</v>
      </c>
      <c r="F352" s="10" t="s">
        <v>10</v>
      </c>
      <c r="I352" s="9" t="s">
        <v>339</v>
      </c>
    </row>
    <row r="353" ht="22" customHeight="1" spans="4:6">
      <c r="D353" s="11" t="s">
        <v>340</v>
      </c>
      <c r="E353" s="10">
        <v>500</v>
      </c>
      <c r="F353" s="11" t="s">
        <v>341</v>
      </c>
    </row>
    <row r="354" ht="22" customHeight="1" spans="4:6">
      <c r="D354" s="11" t="s">
        <v>342</v>
      </c>
      <c r="E354" s="10">
        <v>300</v>
      </c>
      <c r="F354" s="11" t="s">
        <v>343</v>
      </c>
    </row>
    <row r="355" ht="22" customHeight="1" spans="4:6">
      <c r="D355" s="11" t="s">
        <v>344</v>
      </c>
      <c r="E355" s="130">
        <f>E353-E354</f>
        <v>200</v>
      </c>
      <c r="F355" s="11" t="s">
        <v>345</v>
      </c>
    </row>
    <row r="356" ht="22" customHeight="1" spans="4:6">
      <c r="D356" s="11" t="s">
        <v>346</v>
      </c>
      <c r="E356" s="131">
        <f>E354/E353</f>
        <v>0.6</v>
      </c>
      <c r="F356" s="11" t="s">
        <v>347</v>
      </c>
    </row>
    <row r="357" ht="22" customHeight="1" spans="4:6">
      <c r="D357" s="11" t="s">
        <v>348</v>
      </c>
      <c r="E357" s="10">
        <v>50</v>
      </c>
      <c r="F357" s="11" t="s">
        <v>349</v>
      </c>
    </row>
    <row r="358" ht="22" customHeight="1" spans="4:6">
      <c r="D358" s="11" t="s">
        <v>350</v>
      </c>
      <c r="E358" s="130">
        <f>E354+E357</f>
        <v>350</v>
      </c>
      <c r="F358" s="11" t="s">
        <v>351</v>
      </c>
    </row>
    <row r="359" ht="22" customHeight="1" spans="4:6">
      <c r="D359" s="11" t="s">
        <v>352</v>
      </c>
      <c r="E359" s="131">
        <f>E358/E353</f>
        <v>0.7</v>
      </c>
      <c r="F359" s="11" t="s">
        <v>353</v>
      </c>
    </row>
    <row r="360" ht="22" customHeight="1" spans="4:6">
      <c r="D360" s="11" t="s">
        <v>354</v>
      </c>
      <c r="E360" s="130">
        <f>E353-E358</f>
        <v>150</v>
      </c>
      <c r="F360" s="11" t="s">
        <v>355</v>
      </c>
    </row>
    <row r="361" ht="22" customHeight="1" spans="4:6">
      <c r="D361" s="11" t="s">
        <v>356</v>
      </c>
      <c r="E361" s="130">
        <f>E353-E358</f>
        <v>150</v>
      </c>
      <c r="F361" s="11" t="s">
        <v>357</v>
      </c>
    </row>
    <row r="362" ht="22" customHeight="1" spans="4:6">
      <c r="D362" s="11" t="s">
        <v>358</v>
      </c>
      <c r="E362" s="131">
        <f>E361/E353</f>
        <v>0.3</v>
      </c>
      <c r="F362" s="11" t="s">
        <v>359</v>
      </c>
    </row>
    <row r="364" s="25" customFormat="1"/>
  </sheetData>
  <mergeCells count="25">
    <mergeCell ref="B11:F11"/>
    <mergeCell ref="B23:M23"/>
    <mergeCell ref="B30:J30"/>
    <mergeCell ref="B70:I70"/>
    <mergeCell ref="B82:D82"/>
    <mergeCell ref="B101:I101"/>
    <mergeCell ref="B108:H108"/>
    <mergeCell ref="B162:H162"/>
    <mergeCell ref="B169:K169"/>
    <mergeCell ref="B188:L188"/>
    <mergeCell ref="D191:I191"/>
    <mergeCell ref="D192:I192"/>
    <mergeCell ref="D193:I193"/>
    <mergeCell ref="D194:I194"/>
    <mergeCell ref="D195:I195"/>
    <mergeCell ref="C206:G206"/>
    <mergeCell ref="C207:H207"/>
    <mergeCell ref="B262:L262"/>
    <mergeCell ref="D265:E265"/>
    <mergeCell ref="D266:E266"/>
    <mergeCell ref="D267:E267"/>
    <mergeCell ref="D268:E268"/>
    <mergeCell ref="D269:E269"/>
    <mergeCell ref="C276:I276"/>
    <mergeCell ref="C277:J277"/>
  </mergeCells>
  <conditionalFormatting sqref="I171:I173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{8a7b421c-6d55-403d-a87d-d24a097973c4}</x14:id>
        </ext>
      </extLst>
    </cfRule>
  </conditionalFormatting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7b421c-6d55-403d-a87d-d24a097973c4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I171:I173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3"/>
  <sheetViews>
    <sheetView workbookViewId="0">
      <selection activeCell="A33" sqref="$A33:$XFD33"/>
    </sheetView>
  </sheetViews>
  <sheetFormatPr defaultColWidth="9" defaultRowHeight="14"/>
  <cols>
    <col min="2" max="3" width="14.9090909090909" customWidth="1"/>
    <col min="4" max="4" width="15.0909090909091" customWidth="1"/>
    <col min="5" max="5" width="13.2727272727273" customWidth="1"/>
  </cols>
  <sheetData>
    <row r="2" ht="17.5" spans="1:2">
      <c r="A2" s="5" t="s">
        <v>360</v>
      </c>
    </row>
    <row r="4" spans="1:2">
      <c r="B4" s="6" t="s">
        <v>361</v>
      </c>
    </row>
    <row r="5" spans="1:2">
      <c r="B5" s="3" t="s">
        <v>362</v>
      </c>
    </row>
    <row r="6" spans="1:2">
      <c r="B6" s="3" t="s">
        <v>363</v>
      </c>
    </row>
    <row r="7" spans="1:2">
      <c r="B7" s="3" t="s">
        <v>364</v>
      </c>
    </row>
    <row r="8" spans="1:2">
      <c r="B8" s="3" t="s">
        <v>365</v>
      </c>
    </row>
    <row r="9" spans="1:2">
      <c r="B9" s="3" t="s">
        <v>366</v>
      </c>
    </row>
    <row r="11" spans="1:2">
      <c r="B11" t="s">
        <v>367</v>
      </c>
    </row>
    <row r="13" spans="1:2">
      <c r="B13" s="17" t="s">
        <v>368</v>
      </c>
    </row>
    <row r="15" spans="1:2">
      <c r="B15" s="6" t="s">
        <v>369</v>
      </c>
    </row>
    <row r="18" s="1" customFormat="1"/>
    <row r="20" ht="17.5" spans="1:9">
      <c r="A20" s="5" t="s">
        <v>370</v>
      </c>
    </row>
    <row r="22" ht="32" customHeight="1" spans="1:9">
      <c r="B22" s="18" t="s">
        <v>371</v>
      </c>
      <c r="C22" s="19"/>
      <c r="D22" s="19"/>
      <c r="E22" s="19"/>
    </row>
    <row r="23" spans="1:9">
      <c r="B23" s="10" t="s">
        <v>372</v>
      </c>
      <c r="C23" s="10" t="s">
        <v>8</v>
      </c>
      <c r="D23" s="10" t="s">
        <v>9</v>
      </c>
      <c r="E23" s="10" t="s">
        <v>10</v>
      </c>
    </row>
    <row r="24" ht="28" spans="1:9">
      <c r="B24" s="11" t="s">
        <v>373</v>
      </c>
      <c r="C24" s="20">
        <v>932460</v>
      </c>
      <c r="D24" s="20" t="s">
        <v>374</v>
      </c>
      <c r="E24" s="11" t="s">
        <v>375</v>
      </c>
      <c r="I24">
        <v>1</v>
      </c>
    </row>
    <row r="25" ht="42" spans="1:9">
      <c r="B25" s="11" t="s">
        <v>376</v>
      </c>
      <c r="C25" s="20">
        <v>149397.5</v>
      </c>
      <c r="D25" s="20" t="s">
        <v>374</v>
      </c>
      <c r="E25" s="11" t="s">
        <v>377</v>
      </c>
    </row>
    <row r="26" ht="28" spans="1:9">
      <c r="B26" s="11" t="s">
        <v>378</v>
      </c>
      <c r="C26" s="21">
        <f>C24+C25</f>
        <v>1081857.5</v>
      </c>
      <c r="D26" s="20" t="s">
        <v>374</v>
      </c>
      <c r="E26" s="11" t="s">
        <v>379</v>
      </c>
    </row>
    <row r="27" ht="28" spans="1:9">
      <c r="B27" s="11" t="s">
        <v>380</v>
      </c>
      <c r="C27" s="20">
        <v>4278517.5</v>
      </c>
      <c r="D27" s="20" t="s">
        <v>374</v>
      </c>
      <c r="E27" s="11" t="s">
        <v>381</v>
      </c>
    </row>
    <row r="28" ht="42" spans="1:9">
      <c r="B28" s="11" t="s">
        <v>382</v>
      </c>
      <c r="C28" s="22">
        <f>C26/C27</f>
        <v>0.252858028511044</v>
      </c>
      <c r="D28" s="20" t="s">
        <v>24</v>
      </c>
      <c r="E28" s="11" t="s">
        <v>383</v>
      </c>
    </row>
    <row r="29" ht="42" spans="1:9">
      <c r="B29" s="11" t="s">
        <v>384</v>
      </c>
      <c r="C29" s="21">
        <f>C27-C26</f>
        <v>3196660</v>
      </c>
      <c r="D29" s="20" t="s">
        <v>374</v>
      </c>
      <c r="E29" s="11" t="s">
        <v>385</v>
      </c>
    </row>
    <row r="30" spans="1:9">
      <c r="B30" s="11" t="s">
        <v>386</v>
      </c>
      <c r="C30" s="23">
        <f>1-C28</f>
        <v>0.747141971488956</v>
      </c>
      <c r="D30" s="20" t="s">
        <v>24</v>
      </c>
      <c r="E30" s="11" t="s">
        <v>387</v>
      </c>
    </row>
    <row r="31" ht="28" spans="1:9">
      <c r="B31" s="11" t="s">
        <v>388</v>
      </c>
      <c r="C31" s="10" t="s">
        <v>389</v>
      </c>
      <c r="D31" s="20" t="s">
        <v>24</v>
      </c>
      <c r="E31" s="11" t="s">
        <v>390</v>
      </c>
    </row>
    <row r="33" s="1" customFormat="1"/>
  </sheetData>
  <mergeCells count="1">
    <mergeCell ref="B22:E2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88"/>
  <sheetViews>
    <sheetView workbookViewId="0">
      <selection activeCell="A88" sqref="$A88:$XFD88"/>
    </sheetView>
  </sheetViews>
  <sheetFormatPr defaultColWidth="9" defaultRowHeight="14" outlineLevelCol="1"/>
  <sheetData>
    <row r="2" ht="17.5" spans="1:2">
      <c r="A2" s="5" t="s">
        <v>391</v>
      </c>
    </row>
    <row r="4" spans="1:2">
      <c r="B4" s="6" t="s">
        <v>361</v>
      </c>
    </row>
    <row r="5" spans="1:2">
      <c r="B5" s="3" t="s">
        <v>392</v>
      </c>
    </row>
    <row r="6" spans="1:2">
      <c r="B6" s="3" t="s">
        <v>393</v>
      </c>
    </row>
    <row r="7" spans="1:2">
      <c r="B7" s="3" t="s">
        <v>394</v>
      </c>
    </row>
    <row r="8" spans="1:2">
      <c r="B8" s="3" t="s">
        <v>395</v>
      </c>
    </row>
    <row r="9" spans="1:2">
      <c r="B9" s="3" t="s">
        <v>396</v>
      </c>
    </row>
    <row r="10" spans="1:2">
      <c r="B10" s="3" t="s">
        <v>397</v>
      </c>
    </row>
    <row r="12" spans="1:2">
      <c r="B12" s="6" t="s">
        <v>398</v>
      </c>
    </row>
    <row r="15" s="1" customFormat="1"/>
    <row r="17" ht="17.5" spans="1:1">
      <c r="A17" s="5" t="s">
        <v>399</v>
      </c>
    </row>
    <row r="19" spans="1:1">
      <c r="A19" s="6" t="s">
        <v>400</v>
      </c>
    </row>
    <row r="20" spans="1:1">
      <c r="A20" s="3" t="s">
        <v>401</v>
      </c>
    </row>
    <row r="21" spans="1:1">
      <c r="A21" s="3" t="s">
        <v>402</v>
      </c>
    </row>
    <row r="22" spans="1:1">
      <c r="A22" s="3" t="s">
        <v>403</v>
      </c>
    </row>
    <row r="23" spans="1:1">
      <c r="A23" s="3"/>
    </row>
    <row r="24" spans="1:1">
      <c r="A24" s="6" t="s">
        <v>404</v>
      </c>
    </row>
    <row r="25" spans="1:1">
      <c r="A25" s="3" t="s">
        <v>405</v>
      </c>
    </row>
    <row r="26" spans="1:1">
      <c r="A26" s="3"/>
    </row>
    <row r="27" spans="1:1">
      <c r="A27" s="8" t="s">
        <v>406</v>
      </c>
    </row>
    <row r="28" spans="1:1">
      <c r="A28" s="8" t="s">
        <v>407</v>
      </c>
    </row>
    <row r="29" spans="1:1">
      <c r="A29" s="3"/>
    </row>
    <row r="30" spans="1:1">
      <c r="A30" s="3" t="s">
        <v>408</v>
      </c>
    </row>
    <row r="31" spans="1:1">
      <c r="A31" s="6" t="s">
        <v>409</v>
      </c>
    </row>
    <row r="32" spans="1:1">
      <c r="A32" s="3" t="s">
        <v>410</v>
      </c>
    </row>
    <row r="33" spans="1:1">
      <c r="A33" s="3" t="s">
        <v>411</v>
      </c>
    </row>
    <row r="34" spans="1:1">
      <c r="A34" s="3"/>
    </row>
    <row r="35" spans="1:1">
      <c r="A35" s="6" t="s">
        <v>412</v>
      </c>
    </row>
    <row r="36" spans="1:1">
      <c r="A36" s="3" t="s">
        <v>413</v>
      </c>
    </row>
    <row r="37" spans="1:1">
      <c r="A37" s="3" t="s">
        <v>414</v>
      </c>
    </row>
    <row r="38" spans="1:1">
      <c r="A38" s="3"/>
    </row>
    <row r="39" spans="1:1">
      <c r="A39" s="8" t="s">
        <v>415</v>
      </c>
    </row>
    <row r="40" spans="1:1">
      <c r="A40" s="8" t="s">
        <v>416</v>
      </c>
    </row>
    <row r="41" spans="1:1">
      <c r="A41" s="8" t="s">
        <v>417</v>
      </c>
    </row>
    <row r="42" spans="1:1">
      <c r="A42" s="3"/>
    </row>
    <row r="43" spans="1:1">
      <c r="A43" s="3" t="s">
        <v>418</v>
      </c>
    </row>
    <row r="44" spans="1:1">
      <c r="A44" s="3"/>
    </row>
    <row r="45" spans="1:1">
      <c r="A45" s="8" t="s">
        <v>419</v>
      </c>
    </row>
    <row r="46" spans="1:1">
      <c r="A46" s="8" t="s">
        <v>420</v>
      </c>
    </row>
    <row r="47" spans="1:1">
      <c r="A47" s="3"/>
    </row>
    <row r="48" spans="1:1">
      <c r="A48" s="6" t="s">
        <v>421</v>
      </c>
    </row>
    <row r="49" spans="1:1">
      <c r="A49" s="3" t="s">
        <v>422</v>
      </c>
    </row>
    <row r="50" spans="1:1">
      <c r="A50" s="3"/>
    </row>
    <row r="51" spans="1:1">
      <c r="A51" s="15" t="s">
        <v>423</v>
      </c>
    </row>
    <row r="52" spans="1:1">
      <c r="A52" s="15" t="s">
        <v>424</v>
      </c>
    </row>
    <row r="53" spans="1:1">
      <c r="A53" s="3"/>
    </row>
    <row r="55" spans="1:1">
      <c r="A55" s="6" t="s">
        <v>425</v>
      </c>
    </row>
    <row r="56" spans="1:1">
      <c r="A56" s="3" t="s">
        <v>426</v>
      </c>
    </row>
    <row r="58" spans="1:1">
      <c r="A58" s="3" t="s">
        <v>427</v>
      </c>
    </row>
    <row r="59" spans="1:1">
      <c r="A59" s="3"/>
    </row>
    <row r="60" spans="1:1">
      <c r="A60" s="8" t="s">
        <v>428</v>
      </c>
    </row>
    <row r="61" spans="1:1">
      <c r="A61" s="8" t="s">
        <v>429</v>
      </c>
    </row>
    <row r="62" spans="1:1">
      <c r="A62" s="8" t="s">
        <v>430</v>
      </c>
    </row>
    <row r="63" spans="1:1">
      <c r="A63" s="3"/>
    </row>
    <row r="64" spans="1:1">
      <c r="A64" s="3"/>
    </row>
    <row r="65" spans="1:1">
      <c r="A65" s="6" t="s">
        <v>431</v>
      </c>
    </row>
    <row r="66" spans="1:1">
      <c r="A66" s="3"/>
    </row>
    <row r="67" spans="1:1">
      <c r="A67" s="3" t="s">
        <v>432</v>
      </c>
    </row>
    <row r="68" spans="1:1">
      <c r="A68" s="6" t="s">
        <v>433</v>
      </c>
    </row>
    <row r="69" spans="1:1">
      <c r="A69" s="3"/>
    </row>
    <row r="70" spans="1:1">
      <c r="A70" s="3" t="s">
        <v>434</v>
      </c>
    </row>
    <row r="71" spans="1:1">
      <c r="A71" s="6" t="s">
        <v>435</v>
      </c>
    </row>
    <row r="72" spans="1:1">
      <c r="A72" s="3"/>
    </row>
    <row r="73" spans="1:1">
      <c r="A73" s="3" t="s">
        <v>436</v>
      </c>
    </row>
    <row r="74" spans="1:1">
      <c r="A74" s="6" t="s">
        <v>437</v>
      </c>
    </row>
    <row r="75" spans="1:1">
      <c r="A75" s="3"/>
    </row>
    <row r="76" spans="1:1">
      <c r="A76" s="16" t="s">
        <v>438</v>
      </c>
    </row>
    <row r="77" spans="1:1">
      <c r="A77" s="3"/>
    </row>
    <row r="78" spans="1:1">
      <c r="A78" s="6" t="s">
        <v>439</v>
      </c>
    </row>
    <row r="79" spans="1:1">
      <c r="A79" s="3" t="s">
        <v>440</v>
      </c>
    </row>
    <row r="80" spans="1:1">
      <c r="A80" s="3" t="s">
        <v>441</v>
      </c>
    </row>
    <row r="81" spans="1:1">
      <c r="A81" s="3" t="s">
        <v>442</v>
      </c>
    </row>
    <row r="82" spans="1:1">
      <c r="A82" s="3" t="s">
        <v>443</v>
      </c>
    </row>
    <row r="83" spans="1:1">
      <c r="A83" s="3" t="s">
        <v>444</v>
      </c>
    </row>
    <row r="84" spans="1:1">
      <c r="A84" s="3" t="s">
        <v>445</v>
      </c>
    </row>
    <row r="85" spans="1:1">
      <c r="A85" s="3" t="s">
        <v>446</v>
      </c>
    </row>
    <row r="86" spans="1:1">
      <c r="A86" s="3" t="s">
        <v>447</v>
      </c>
    </row>
    <row r="88" s="1" customFormat="1"/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11"/>
  <sheetViews>
    <sheetView workbookViewId="0">
      <selection activeCell="N12" sqref="N12"/>
    </sheetView>
  </sheetViews>
  <sheetFormatPr defaultColWidth="9" defaultRowHeight="14" outlineLevelCol="6"/>
  <cols>
    <col min="1" max="1" width="10.5454545454545" customWidth="1"/>
  </cols>
  <sheetData>
    <row r="2" ht="23" spans="1:2">
      <c r="A2" s="2" t="s">
        <v>448</v>
      </c>
    </row>
    <row r="4" spans="1:2">
      <c r="B4" s="3" t="s">
        <v>449</v>
      </c>
    </row>
    <row r="6" spans="1:2">
      <c r="B6" s="4" t="s">
        <v>450</v>
      </c>
    </row>
    <row r="7" spans="1:2">
      <c r="B7" s="4" t="s">
        <v>451</v>
      </c>
    </row>
    <row r="8" spans="1:2">
      <c r="B8" s="4" t="s">
        <v>452</v>
      </c>
    </row>
    <row r="9" spans="1:2">
      <c r="B9" s="4" t="s">
        <v>453</v>
      </c>
    </row>
    <row r="10" spans="1:2">
      <c r="B10" s="3" t="s">
        <v>454</v>
      </c>
    </row>
    <row r="11" spans="1:2">
      <c r="B11" s="3"/>
    </row>
    <row r="12" spans="1:2">
      <c r="B12" s="4" t="s">
        <v>455</v>
      </c>
    </row>
    <row r="13" spans="1:2">
      <c r="B13" s="3" t="s">
        <v>456</v>
      </c>
    </row>
    <row r="14" spans="1:2">
      <c r="B14" s="4" t="s">
        <v>457</v>
      </c>
    </row>
    <row r="15" spans="1:2">
      <c r="B15" s="4" t="s">
        <v>458</v>
      </c>
    </row>
    <row r="17" spans="1:2">
      <c r="B17" s="4" t="s">
        <v>459</v>
      </c>
    </row>
    <row r="18" ht="15" customHeight="1"/>
    <row r="19" spans="1:2">
      <c r="B19" s="4" t="s">
        <v>460</v>
      </c>
    </row>
    <row r="20" spans="1:2">
      <c r="B20" s="4" t="s">
        <v>461</v>
      </c>
    </row>
    <row r="21" spans="1:2">
      <c r="B21" s="4" t="s">
        <v>462</v>
      </c>
    </row>
    <row r="23" spans="1:2">
      <c r="B23" s="3" t="s">
        <v>463</v>
      </c>
    </row>
    <row r="25" spans="1:2">
      <c r="B25" s="3" t="s">
        <v>464</v>
      </c>
    </row>
    <row r="26" spans="1:2">
      <c r="B26" s="4" t="s">
        <v>465</v>
      </c>
    </row>
    <row r="28" s="1" customFormat="1"/>
    <row r="31" ht="17.5" spans="1:2">
      <c r="A31" s="5" t="s">
        <v>466</v>
      </c>
    </row>
    <row r="34" spans="2:2">
      <c r="B34" s="6" t="s">
        <v>467</v>
      </c>
    </row>
    <row r="35" spans="2:2">
      <c r="B35" s="3"/>
    </row>
    <row r="36" spans="2:2">
      <c r="B36" s="6" t="s">
        <v>468</v>
      </c>
    </row>
    <row r="37" spans="2:2">
      <c r="B37" s="3" t="s">
        <v>469</v>
      </c>
    </row>
    <row r="38" spans="2:2">
      <c r="B38" s="3" t="s">
        <v>470</v>
      </c>
    </row>
    <row r="39" spans="2:2">
      <c r="B39" s="3"/>
    </row>
    <row r="40" spans="2:2">
      <c r="B40" s="6" t="s">
        <v>471</v>
      </c>
    </row>
    <row r="41" spans="2:2">
      <c r="B41" s="3" t="s">
        <v>472</v>
      </c>
    </row>
    <row r="42" spans="2:2">
      <c r="B42" s="3"/>
    </row>
    <row r="43" spans="2:2">
      <c r="B43" s="6" t="s">
        <v>473</v>
      </c>
    </row>
    <row r="44" spans="2:2">
      <c r="B44" s="3" t="s">
        <v>474</v>
      </c>
    </row>
    <row r="45" spans="2:2">
      <c r="B45" s="3"/>
    </row>
    <row r="46" spans="2:2">
      <c r="B46" s="3" t="s">
        <v>475</v>
      </c>
    </row>
    <row r="47" spans="2:2">
      <c r="B47" s="3"/>
    </row>
    <row r="48" spans="2:2">
      <c r="B48" s="6" t="s">
        <v>476</v>
      </c>
    </row>
    <row r="51" s="1" customFormat="1"/>
    <row r="53" ht="17.5" spans="1:1">
      <c r="A53" s="5" t="s">
        <v>477</v>
      </c>
    </row>
    <row r="55" ht="17.5" spans="1:1">
      <c r="A55" s="7" t="s">
        <v>478</v>
      </c>
    </row>
    <row r="56" spans="1:1">
      <c r="A56" s="3"/>
    </row>
    <row r="57" spans="1:1">
      <c r="A57" s="6" t="s">
        <v>479</v>
      </c>
    </row>
    <row r="58" spans="1:1">
      <c r="A58" s="3"/>
    </row>
    <row r="59" spans="1:1">
      <c r="A59" s="3" t="s">
        <v>480</v>
      </c>
    </row>
    <row r="60" spans="1:1">
      <c r="A60" s="3"/>
    </row>
    <row r="61" spans="1:1">
      <c r="A61" s="6" t="s">
        <v>481</v>
      </c>
    </row>
    <row r="62" spans="1:1">
      <c r="A62" s="3"/>
    </row>
    <row r="63" spans="1:1">
      <c r="A63" s="8" t="s">
        <v>482</v>
      </c>
    </row>
    <row r="64" spans="1:1">
      <c r="A64" s="8" t="s">
        <v>483</v>
      </c>
    </row>
    <row r="65" spans="1:1">
      <c r="A65" s="8" t="s">
        <v>484</v>
      </c>
    </row>
    <row r="66" spans="1:1">
      <c r="A66" s="8" t="s">
        <v>485</v>
      </c>
    </row>
    <row r="67" spans="1:1">
      <c r="A67" s="8" t="s">
        <v>486</v>
      </c>
    </row>
    <row r="68" spans="1:1">
      <c r="A68" s="8" t="s">
        <v>487</v>
      </c>
    </row>
    <row r="69" spans="1:1">
      <c r="A69" s="3"/>
    </row>
    <row r="70" spans="1:1">
      <c r="A70" s="3" t="s">
        <v>488</v>
      </c>
    </row>
    <row r="71" spans="1:1">
      <c r="A71" s="3"/>
    </row>
    <row r="72" spans="1:1">
      <c r="A72" s="6" t="s">
        <v>489</v>
      </c>
    </row>
    <row r="73" spans="1:1">
      <c r="A73" s="3"/>
    </row>
    <row r="74" spans="1:1">
      <c r="A74" s="8" t="s">
        <v>490</v>
      </c>
    </row>
    <row r="75" spans="1:1">
      <c r="A75" s="8" t="s">
        <v>491</v>
      </c>
    </row>
    <row r="76" spans="1:1">
      <c r="A76" s="8" t="s">
        <v>492</v>
      </c>
    </row>
    <row r="77" spans="1:1">
      <c r="A77" s="8" t="s">
        <v>493</v>
      </c>
    </row>
    <row r="79" spans="1:1">
      <c r="A79" s="3" t="s">
        <v>494</v>
      </c>
    </row>
    <row r="80" spans="1:1">
      <c r="A80" s="3"/>
    </row>
    <row r="81" spans="1:1">
      <c r="A81" s="6" t="s">
        <v>495</v>
      </c>
    </row>
    <row r="83" spans="1:1">
      <c r="A83" s="3"/>
    </row>
    <row r="84" spans="1:1">
      <c r="A84" s="3" t="s">
        <v>496</v>
      </c>
    </row>
    <row r="85" spans="1:1">
      <c r="A85" s="3"/>
    </row>
    <row r="86" spans="1:1">
      <c r="A86" s="3" t="s">
        <v>497</v>
      </c>
    </row>
    <row r="87" spans="1:1">
      <c r="A87" s="3" t="s">
        <v>498</v>
      </c>
    </row>
    <row r="88" spans="1:1">
      <c r="A88" s="3" t="s">
        <v>499</v>
      </c>
    </row>
    <row r="89" spans="1:1">
      <c r="A89" s="3" t="s">
        <v>500</v>
      </c>
    </row>
    <row r="90" spans="1:1">
      <c r="A90" s="3"/>
    </row>
    <row r="91" spans="1:1">
      <c r="A91" s="3" t="s">
        <v>501</v>
      </c>
    </row>
    <row r="92" spans="1:1">
      <c r="A92" s="3"/>
    </row>
    <row r="93" spans="1:1">
      <c r="A93" s="6" t="s">
        <v>502</v>
      </c>
    </row>
    <row r="94" spans="1:1">
      <c r="A94" s="3"/>
    </row>
    <row r="95" spans="1:1">
      <c r="A95" s="3" t="s">
        <v>503</v>
      </c>
    </row>
    <row r="96" spans="1:1">
      <c r="A96" s="3"/>
    </row>
    <row r="97" spans="1:1">
      <c r="A97" s="6" t="s">
        <v>504</v>
      </c>
    </row>
    <row r="98" spans="1:1">
      <c r="A98" s="3"/>
    </row>
    <row r="99" spans="1:1">
      <c r="A99" s="3" t="s">
        <v>505</v>
      </c>
    </row>
    <row r="100" spans="1:1">
      <c r="A100" s="3"/>
    </row>
    <row r="101" spans="1:1">
      <c r="A101" s="3"/>
    </row>
    <row r="102" spans="1:1">
      <c r="A102" s="3"/>
    </row>
    <row r="103" ht="17.5" spans="1:1">
      <c r="A103" s="7" t="s">
        <v>506</v>
      </c>
    </row>
    <row r="104" spans="1:1">
      <c r="A104" s="3"/>
    </row>
    <row r="105" spans="1:1">
      <c r="A105" s="3" t="s">
        <v>507</v>
      </c>
    </row>
    <row r="106" spans="1:1">
      <c r="A106" s="3"/>
    </row>
    <row r="107" spans="1:1">
      <c r="A107" s="6" t="s">
        <v>508</v>
      </c>
    </row>
    <row r="108" spans="1:1">
      <c r="A108" s="3"/>
    </row>
    <row r="109" spans="1:1">
      <c r="A109" s="3" t="s">
        <v>509</v>
      </c>
    </row>
    <row r="110" spans="1:1">
      <c r="A110" s="3"/>
    </row>
    <row r="111" spans="1:1">
      <c r="A111" s="6" t="s">
        <v>510</v>
      </c>
    </row>
    <row r="112" spans="1:1">
      <c r="A112" s="3"/>
    </row>
    <row r="113" spans="1:7">
      <c r="A113" s="3" t="s">
        <v>511</v>
      </c>
    </row>
    <row r="114" spans="1:7">
      <c r="A114" s="3" t="s">
        <v>361</v>
      </c>
    </row>
    <row r="115" spans="1:7">
      <c r="A115" s="3" t="s">
        <v>512</v>
      </c>
    </row>
    <row r="116" spans="1:7">
      <c r="A116" s="3"/>
    </row>
    <row r="117" spans="1:7">
      <c r="A117" s="3" t="s">
        <v>513</v>
      </c>
    </row>
    <row r="118" spans="1:7">
      <c r="A118" s="3"/>
    </row>
    <row r="119" spans="1:7">
      <c r="A119" s="6" t="s">
        <v>514</v>
      </c>
    </row>
    <row r="120" spans="1:7">
      <c r="A120" s="3"/>
    </row>
    <row r="121" spans="1:7">
      <c r="A121" s="3" t="s">
        <v>501</v>
      </c>
    </row>
    <row r="122" spans="1:7">
      <c r="A122" s="3"/>
      <c r="B122"/>
      <c r="C122"/>
      <c r="D122"/>
      <c r="E122"/>
      <c r="F122"/>
      <c r="G122" s="9" t="s">
        <v>515</v>
      </c>
    </row>
    <row r="123" spans="1:7">
      <c r="A123" s="6" t="s">
        <v>516</v>
      </c>
    </row>
    <row r="124" spans="1:7">
      <c r="A124" s="3"/>
    </row>
    <row r="125" spans="1:7">
      <c r="A125" s="3"/>
    </row>
    <row r="126" spans="1:7">
      <c r="A126" s="3"/>
    </row>
    <row r="127" spans="1:7">
      <c r="A127" s="6" t="s">
        <v>517</v>
      </c>
    </row>
    <row r="128" spans="1:7">
      <c r="A128" s="3"/>
    </row>
    <row r="129" spans="1:1">
      <c r="A129" s="3" t="s">
        <v>518</v>
      </c>
    </row>
    <row r="130" spans="1:1">
      <c r="A130" s="3" t="s">
        <v>519</v>
      </c>
    </row>
    <row r="131" spans="1:1">
      <c r="A131" s="3"/>
    </row>
    <row r="132" spans="1:1">
      <c r="A132" s="3" t="s">
        <v>513</v>
      </c>
    </row>
    <row r="133" spans="1:1">
      <c r="A133" s="3"/>
    </row>
    <row r="134" spans="1:1">
      <c r="A134" s="6" t="s">
        <v>520</v>
      </c>
    </row>
    <row r="135" spans="1:1">
      <c r="A135" s="3"/>
    </row>
    <row r="136" spans="1:1">
      <c r="A136" s="3" t="s">
        <v>501</v>
      </c>
    </row>
    <row r="137" spans="1:1">
      <c r="A137" s="3"/>
    </row>
    <row r="138" spans="1:1">
      <c r="A138" s="6" t="s">
        <v>521</v>
      </c>
    </row>
    <row r="139" spans="1:1">
      <c r="A139" s="3"/>
    </row>
    <row r="140" spans="1:1">
      <c r="A140" s="3"/>
    </row>
    <row r="141" spans="1:1">
      <c r="A141" s="3"/>
    </row>
    <row r="142" ht="17.5" spans="1:1">
      <c r="A142" s="7" t="s">
        <v>522</v>
      </c>
    </row>
    <row r="143" spans="1:1">
      <c r="A143" s="3"/>
    </row>
    <row r="144" spans="1:1">
      <c r="A144" s="3" t="s">
        <v>523</v>
      </c>
    </row>
    <row r="145" spans="1:3">
      <c r="A145" s="3"/>
    </row>
    <row r="146" spans="1:3">
      <c r="A146" s="6" t="s">
        <v>524</v>
      </c>
    </row>
    <row r="147" spans="1:3">
      <c r="A147" s="3"/>
    </row>
    <row r="148" spans="1:3">
      <c r="A148" s="10" t="s">
        <v>525</v>
      </c>
      <c r="B148" s="10" t="s">
        <v>526</v>
      </c>
      <c r="C148" s="10" t="s">
        <v>527</v>
      </c>
    </row>
    <row r="149" spans="1:3">
      <c r="A149" s="11" t="s">
        <v>528</v>
      </c>
      <c r="B149" s="11" t="s">
        <v>196</v>
      </c>
      <c r="C149" s="11" t="s">
        <v>529</v>
      </c>
    </row>
    <row r="150" spans="1:3">
      <c r="A150" s="11" t="s">
        <v>530</v>
      </c>
      <c r="B150" s="11" t="s">
        <v>531</v>
      </c>
      <c r="C150" s="11" t="s">
        <v>532</v>
      </c>
    </row>
    <row r="151" spans="1:3">
      <c r="A151" s="11" t="s">
        <v>533</v>
      </c>
      <c r="B151" s="11" t="s">
        <v>534</v>
      </c>
      <c r="C151" s="11" t="s">
        <v>532</v>
      </c>
    </row>
    <row r="152" ht="28" spans="1:3">
      <c r="A152" s="11" t="s">
        <v>535</v>
      </c>
      <c r="B152" s="11" t="s">
        <v>536</v>
      </c>
      <c r="C152" s="11" t="s">
        <v>532</v>
      </c>
    </row>
    <row r="153" ht="28" spans="1:3">
      <c r="A153" s="11" t="s">
        <v>537</v>
      </c>
      <c r="B153" s="11" t="s">
        <v>538</v>
      </c>
      <c r="C153" s="11" t="s">
        <v>532</v>
      </c>
    </row>
    <row r="154" ht="28" spans="1:3">
      <c r="A154" s="11" t="s">
        <v>539</v>
      </c>
      <c r="B154" s="11" t="s">
        <v>540</v>
      </c>
      <c r="C154" s="11" t="s">
        <v>541</v>
      </c>
    </row>
    <row r="155" ht="28" spans="1:3">
      <c r="A155" s="11" t="s">
        <v>542</v>
      </c>
      <c r="B155" s="11" t="s">
        <v>543</v>
      </c>
      <c r="C155" s="11" t="s">
        <v>529</v>
      </c>
    </row>
    <row r="156" spans="1:3">
      <c r="A156" s="11" t="s">
        <v>544</v>
      </c>
      <c r="B156" s="11" t="s">
        <v>545</v>
      </c>
      <c r="C156" s="11" t="s">
        <v>546</v>
      </c>
    </row>
    <row r="157" spans="1:3">
      <c r="A157" s="3"/>
    </row>
    <row r="158" spans="1:3">
      <c r="A158" s="3" t="s">
        <v>547</v>
      </c>
    </row>
    <row r="159" spans="1:3">
      <c r="A159" s="3"/>
    </row>
    <row r="160" spans="1:3">
      <c r="A160" s="6" t="s">
        <v>548</v>
      </c>
    </row>
    <row r="161" spans="1:1">
      <c r="A161" s="3"/>
    </row>
    <row r="162" spans="1:1">
      <c r="A162" s="6" t="s">
        <v>549</v>
      </c>
    </row>
    <row r="163" spans="1:1">
      <c r="A163" s="3"/>
    </row>
    <row r="164" spans="1:1">
      <c r="A164" s="3" t="s">
        <v>501</v>
      </c>
    </row>
    <row r="165" spans="1:1">
      <c r="A165" s="3"/>
    </row>
    <row r="166" spans="1:1">
      <c r="A166" s="6" t="s">
        <v>550</v>
      </c>
    </row>
    <row r="167" spans="1:1">
      <c r="A167" s="3"/>
    </row>
    <row r="168" spans="1:1">
      <c r="A168" s="3" t="s">
        <v>551</v>
      </c>
    </row>
    <row r="169" spans="1:1">
      <c r="A169" s="3"/>
    </row>
    <row r="170" spans="1:1">
      <c r="A170" s="6" t="s">
        <v>552</v>
      </c>
    </row>
    <row r="171" spans="1:1">
      <c r="A171" s="3"/>
    </row>
    <row r="172" spans="1:1">
      <c r="A172" s="3"/>
    </row>
    <row r="173" spans="1:1">
      <c r="A173" s="3"/>
    </row>
    <row r="174" ht="17.5" spans="1:1">
      <c r="A174" s="7" t="s">
        <v>553</v>
      </c>
    </row>
    <row r="175" spans="1:1">
      <c r="A175" s="3"/>
    </row>
    <row r="176" spans="1:1">
      <c r="A176" s="6" t="s">
        <v>554</v>
      </c>
    </row>
    <row r="177" spans="1:1">
      <c r="A177" s="3" t="s">
        <v>555</v>
      </c>
    </row>
    <row r="178" spans="1:1">
      <c r="A178" s="3"/>
    </row>
    <row r="179" spans="1:1">
      <c r="A179" s="6" t="s">
        <v>556</v>
      </c>
    </row>
    <row r="180" spans="1:1">
      <c r="A180" s="3" t="s">
        <v>557</v>
      </c>
    </row>
    <row r="181" spans="1:1">
      <c r="A181" s="3"/>
    </row>
    <row r="182" spans="1:1">
      <c r="A182" s="6" t="s">
        <v>558</v>
      </c>
    </row>
    <row r="183" spans="1:1">
      <c r="A183" s="3" t="s">
        <v>559</v>
      </c>
    </row>
    <row r="184" spans="1:1">
      <c r="A184" s="3"/>
    </row>
    <row r="185" spans="1:1">
      <c r="A185" s="6" t="s">
        <v>560</v>
      </c>
    </row>
    <row r="186" spans="1:1">
      <c r="A186" s="3" t="s">
        <v>561</v>
      </c>
    </row>
    <row r="187" spans="1:1">
      <c r="A187" s="3"/>
    </row>
    <row r="188" spans="1:1">
      <c r="A188" s="3" t="s">
        <v>501</v>
      </c>
    </row>
    <row r="189" spans="1:1">
      <c r="A189" s="3"/>
    </row>
    <row r="190" spans="1:1">
      <c r="A190" s="6" t="s">
        <v>562</v>
      </c>
    </row>
    <row r="191" spans="1:1">
      <c r="A191" s="3"/>
    </row>
    <row r="192" spans="1:1">
      <c r="A192" s="3"/>
    </row>
    <row r="193" ht="17.5" spans="1:7">
      <c r="A193" s="7" t="s">
        <v>563</v>
      </c>
    </row>
    <row r="194" spans="1:7">
      <c r="A194" s="3"/>
    </row>
    <row r="195" spans="1:7">
      <c r="A195" s="3" t="s">
        <v>564</v>
      </c>
    </row>
    <row r="196" spans="1:7">
      <c r="A196" s="3"/>
    </row>
    <row r="197" spans="1:7">
      <c r="A197" s="6" t="s">
        <v>565</v>
      </c>
    </row>
    <row r="198" spans="1:7">
      <c r="A198" s="3"/>
    </row>
    <row r="199" spans="1:7">
      <c r="A199" s="12" t="s">
        <v>43</v>
      </c>
      <c r="B199" s="12" t="s">
        <v>566</v>
      </c>
      <c r="C199" s="12" t="s">
        <v>567</v>
      </c>
      <c r="D199" s="12" t="s">
        <v>145</v>
      </c>
      <c r="E199" s="12" t="s">
        <v>568</v>
      </c>
      <c r="F199" s="12" t="s">
        <v>569</v>
      </c>
      <c r="G199" s="12" t="s">
        <v>570</v>
      </c>
    </row>
    <row r="200" ht="28" spans="1:7">
      <c r="A200" s="13" t="s">
        <v>55</v>
      </c>
      <c r="B200" s="13" t="s">
        <v>571</v>
      </c>
      <c r="C200" s="13" t="s">
        <v>150</v>
      </c>
      <c r="D200" s="13" t="s">
        <v>572</v>
      </c>
      <c r="E200" s="13" t="s">
        <v>573</v>
      </c>
      <c r="F200" s="13" t="s">
        <v>574</v>
      </c>
      <c r="G200" s="13" t="s">
        <v>575</v>
      </c>
    </row>
    <row r="201" ht="28" spans="1:7">
      <c r="A201" s="13" t="s">
        <v>56</v>
      </c>
      <c r="B201" s="13" t="s">
        <v>576</v>
      </c>
      <c r="C201" s="13" t="s">
        <v>156</v>
      </c>
      <c r="D201" s="13" t="s">
        <v>572</v>
      </c>
      <c r="E201" s="13" t="s">
        <v>573</v>
      </c>
      <c r="F201" s="13" t="s">
        <v>574</v>
      </c>
      <c r="G201" s="13" t="s">
        <v>575</v>
      </c>
    </row>
    <row r="202" spans="1:7">
      <c r="A202" s="3"/>
    </row>
    <row r="203" spans="1:7">
      <c r="A203" s="3" t="s">
        <v>577</v>
      </c>
    </row>
    <row r="204" spans="1:7">
      <c r="A204" s="3"/>
    </row>
    <row r="205" spans="1:7">
      <c r="A205" s="6" t="s">
        <v>578</v>
      </c>
    </row>
    <row r="206" spans="1:7">
      <c r="A206" s="6" t="s">
        <v>579</v>
      </c>
    </row>
    <row r="207" spans="1:7">
      <c r="A207" s="6" t="s">
        <v>580</v>
      </c>
    </row>
    <row r="208" spans="1:7">
      <c r="A208" s="6" t="s">
        <v>581</v>
      </c>
    </row>
    <row r="209" spans="1:1">
      <c r="A209" s="6" t="s">
        <v>582</v>
      </c>
    </row>
    <row r="210" spans="1:1">
      <c r="A210" s="3"/>
    </row>
    <row r="211" s="1" customFormat="1" spans="1:1">
      <c r="A211" s="1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采购成本保障岗</vt:lpstr>
      <vt:lpstr>应急预算绩效岗</vt:lpstr>
      <vt:lpstr>资金核算风控岗</vt:lpstr>
      <vt:lpstr>财务主管统筹岗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惊浪</cp:lastModifiedBy>
  <dcterms:created xsi:type="dcterms:W3CDTF">2023-05-12T11:15:00Z</dcterms:created>
  <dcterms:modified xsi:type="dcterms:W3CDTF">2026-08-14T19:31:20Z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0909C027D89B40A5A5102302377403A9_12</vt:lpwstr>
  </property>
  <property fmtid="{D5CDD505-2E9C-101B-9397-08002B2CF9AE}" pid="4" name="CalculationRule">
    <vt:i4>0</vt:i4>
  </property>
</Properties>
</file>