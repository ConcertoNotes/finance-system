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本动因转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<sst xmlns="http://schemas.openxmlformats.org/spreadsheetml/2006/main" count="152" uniqueCount="115">
  <si>
    <r>
      <t>洪涝灾害</t>
    </r>
    <r>
      <rPr>
        <b/>
        <sz val="16"/>
        <color rgb="FFFFFFFF"/>
        <rFont val="Carlito"/>
        <charset val="134"/>
      </rPr>
      <t>9</t>
    </r>
    <r>
      <rPr>
        <b/>
        <sz val="16"/>
        <color rgb="FFFFFFFF"/>
        <rFont val="宋体"/>
        <charset val="134"/>
      </rPr>
      <t>网格</t>
    </r>
    <r>
      <rPr>
        <b/>
        <sz val="16"/>
        <color rgb="FFFFFFFF"/>
        <rFont val="Carlito"/>
        <charset val="134"/>
      </rPr>
      <t>——</t>
    </r>
    <r>
      <rPr>
        <b/>
        <sz val="16"/>
        <color rgb="FFFFFFFF"/>
        <rFont val="宋体"/>
        <charset val="134"/>
      </rPr>
      <t>灾情数据转换为成本动因计算表</t>
    </r>
  </si>
  <si>
    <t>一、预算参数表（采用历史采购价标准）</t>
  </si>
  <si>
    <r>
      <t>二、</t>
    </r>
    <r>
      <rPr>
        <b/>
        <sz val="11"/>
        <color rgb="FFFFFFFF"/>
        <rFont val="Carlito"/>
        <charset val="134"/>
      </rPr>
      <t>9</t>
    </r>
    <r>
      <rPr>
        <b/>
        <sz val="11"/>
        <color rgb="FFFFFFFF"/>
        <rFont val="宋体"/>
        <charset val="134"/>
      </rPr>
      <t>网格灾情</t>
    </r>
  </si>
  <si>
    <t>参数名称</t>
  </si>
  <si>
    <t>数值</t>
  </si>
  <si>
    <t>单位</t>
  </si>
  <si>
    <t>说明</t>
  </si>
  <si>
    <t>网格编号</t>
  </si>
  <si>
    <t>转移安置人数</t>
  </si>
  <si>
    <t>特殊人群数</t>
  </si>
  <si>
    <t>距仓库距离(km)</t>
  </si>
  <si>
    <t>棉被需求量(床)</t>
  </si>
  <si>
    <t>数据状态</t>
  </si>
  <si>
    <t>预计安置天数</t>
  </si>
  <si>
    <t>天</t>
  </si>
  <si>
    <t>灾情快速估算</t>
  </si>
  <si>
    <t>甲1</t>
  </si>
  <si>
    <t>前方灾情传递</t>
  </si>
  <si>
    <t>食品标准</t>
  </si>
  <si>
    <t>元/人天</t>
  </si>
  <si>
    <t>甲2</t>
  </si>
  <si>
    <t>饮水标准</t>
  </si>
  <si>
    <r>
      <t>甲</t>
    </r>
    <r>
      <rPr>
        <b/>
        <sz val="11"/>
        <color rgb="FF0000FF"/>
        <rFont val="Carlito"/>
        <charset val="134"/>
      </rPr>
      <t>3</t>
    </r>
  </si>
  <si>
    <t>帐篷预算单价</t>
  </si>
  <si>
    <t>元/顶</t>
  </si>
  <si>
    <t>历史预算标准</t>
  </si>
  <si>
    <t>甲4</t>
  </si>
  <si>
    <t>每顶帐篷容纳人数</t>
  </si>
  <si>
    <r>
      <t>人</t>
    </r>
    <r>
      <rPr>
        <sz val="11"/>
        <color rgb="FF0000FF"/>
        <rFont val="Carlito"/>
        <charset val="134"/>
      </rPr>
      <t>/</t>
    </r>
    <r>
      <rPr>
        <sz val="11"/>
        <color rgb="FF0000FF"/>
        <rFont val="宋体"/>
        <charset val="134"/>
      </rPr>
      <t>顶</t>
    </r>
  </si>
  <si>
    <t>1顶帐篷使用人数</t>
  </si>
  <si>
    <t>甲5</t>
  </si>
  <si>
    <t>棉被预算单价</t>
  </si>
  <si>
    <t>元/床</t>
  </si>
  <si>
    <r>
      <t>甲</t>
    </r>
    <r>
      <rPr>
        <b/>
        <sz val="11"/>
        <color rgb="FF0000FF"/>
        <rFont val="Carlito"/>
        <charset val="134"/>
      </rPr>
      <t>6</t>
    </r>
  </si>
  <si>
    <t>特殊人群保障</t>
  </si>
  <si>
    <t>元/人</t>
  </si>
  <si>
    <t>老人/儿童/孕妇等</t>
  </si>
  <si>
    <t>甲7</t>
  </si>
  <si>
    <t>运输成本</t>
  </si>
  <si>
    <t>元/公里·辆</t>
  </si>
  <si>
    <t>运输距离×车辆数×单位公里成本</t>
  </si>
  <si>
    <t>甲8</t>
  </si>
  <si>
    <t>每网格配车</t>
  </si>
  <si>
    <t>辆</t>
  </si>
  <si>
    <t>统一配置</t>
  </si>
  <si>
    <t>甲9</t>
  </si>
  <si>
    <t>救援人员</t>
  </si>
  <si>
    <t>人</t>
  </si>
  <si>
    <t>保险计算</t>
  </si>
  <si>
    <t>保险单价</t>
  </si>
  <si>
    <t>B保险公司</t>
  </si>
  <si>
    <t>冲锋舟单价</t>
  </si>
  <si>
    <t>元/艘</t>
  </si>
  <si>
    <t>设备预算</t>
  </si>
  <si>
    <t>冲锋舟数量</t>
  </si>
  <si>
    <t>艘</t>
  </si>
  <si>
    <t>急救包单价</t>
  </si>
  <si>
    <t>元/套</t>
  </si>
  <si>
    <t>急救包数量</t>
  </si>
  <si>
    <t>套</t>
  </si>
  <si>
    <t>救生衣单价</t>
  </si>
  <si>
    <t>元/件</t>
  </si>
  <si>
    <t>救生衣数量</t>
  </si>
  <si>
    <t>件</t>
  </si>
  <si>
    <r>
      <t>三、</t>
    </r>
    <r>
      <rPr>
        <b/>
        <sz val="11"/>
        <color rgb="FFFFFFFF"/>
        <rFont val="Carlito"/>
        <charset val="134"/>
      </rPr>
      <t>9</t>
    </r>
    <r>
      <rPr>
        <b/>
        <sz val="11"/>
        <color rgb="FFFFFFFF"/>
        <rFont val="宋体"/>
        <charset val="134"/>
      </rPr>
      <t>网格成本动因测算</t>
    </r>
  </si>
  <si>
    <t>网格</t>
  </si>
  <si>
    <t>安置天数</t>
  </si>
  <si>
    <t>安置人天</t>
  </si>
  <si>
    <t>食品预算</t>
  </si>
  <si>
    <t>饮水预算</t>
  </si>
  <si>
    <t>帐篷需求量</t>
  </si>
  <si>
    <t>帐篷单价</t>
  </si>
  <si>
    <t>帐篷预算</t>
  </si>
  <si>
    <t>棉被需求量</t>
  </si>
  <si>
    <t>棉被单价</t>
  </si>
  <si>
    <t>棉被预算</t>
  </si>
  <si>
    <t>特殊保障预算</t>
  </si>
  <si>
    <t>运输距离</t>
  </si>
  <si>
    <t>车辆数</t>
  </si>
  <si>
    <t>运输单价</t>
  </si>
  <si>
    <t>运输预算</t>
  </si>
  <si>
    <t>网格预算合计</t>
  </si>
  <si>
    <t>甲3</t>
  </si>
  <si>
    <t>甲6</t>
  </si>
  <si>
    <t>9网格合计</t>
  </si>
  <si>
    <t>四、保险及设备预算</t>
  </si>
  <si>
    <t>五、预算汇总</t>
  </si>
  <si>
    <t>项目</t>
  </si>
  <si>
    <t>数量</t>
  </si>
  <si>
    <t>单价（元）</t>
  </si>
  <si>
    <t>计算公式/口径</t>
  </si>
  <si>
    <t>预算金额（元）</t>
  </si>
  <si>
    <t>数值（元）</t>
  </si>
  <si>
    <t>冲锋舟</t>
  </si>
  <si>
    <t>数量×单价</t>
  </si>
  <si>
    <t>9网格预算需求</t>
  </si>
  <si>
    <t>-</t>
  </si>
  <si>
    <t>急救包</t>
  </si>
  <si>
    <t>保险预算</t>
  </si>
  <si>
    <t>50人×220元/人</t>
  </si>
  <si>
    <t>救生衣</t>
  </si>
  <si>
    <t>冲锋舟+急救包+救生衣</t>
  </si>
  <si>
    <t>设备预算合计</t>
  </si>
  <si>
    <t>总预算需求</t>
  </si>
  <si>
    <t>9网格预算+保险+设备</t>
  </si>
  <si>
    <t>六、成本构成汇总</t>
  </si>
  <si>
    <t>成本项目</t>
  </si>
  <si>
    <t>占总预算比例</t>
  </si>
  <si>
    <t>食品</t>
  </si>
  <si>
    <t>饮水</t>
  </si>
  <si>
    <t>帐篷</t>
  </si>
  <si>
    <t>棉被</t>
  </si>
  <si>
    <t>运输</t>
  </si>
  <si>
    <t>保险</t>
  </si>
  <si>
    <t>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</si>
</sst>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name val="Carlito"/>
      <charset val="134"/>
    </font>
    <font>
      <b/>
      <sz val="16"/>
      <color rgb="FFFFFFFF"/>
      <name val="宋体"/>
      <charset val="134"/>
    </font>
    <font>
      <b/>
      <sz val="16"/>
      <color rgb="FFFFFFFF"/>
      <name val="Carlito"/>
      <charset val="134"/>
    </font>
    <font>
      <b/>
      <sz val="11"/>
      <color rgb="FFFFFFFF"/>
      <name val="宋体"/>
      <charset val="134"/>
    </font>
    <font>
      <b/>
      <sz val="11"/>
      <color rgb="FFFFFFFF"/>
      <name val="Carlito"/>
      <charset val="134"/>
    </font>
    <font>
      <b/>
      <sz val="11"/>
      <color rgb="FF17365D"/>
      <name val="Carlito"/>
      <charset val="134"/>
    </font>
    <font>
      <b/>
      <sz val="11"/>
      <color rgb="FF17365D"/>
      <name val="宋体"/>
      <charset val="134"/>
    </font>
    <font>
      <sz val="11"/>
      <color rgb="FF0000FF"/>
      <name val="Carlito"/>
      <charset val="134"/>
    </font>
    <font>
      <sz val="11"/>
      <color rgb="FF0000FF"/>
      <name val="宋体"/>
      <charset val="134"/>
    </font>
    <font>
      <sz val="11"/>
      <name val="宋体"/>
      <charset val="134"/>
    </font>
    <font>
      <b/>
      <sz val="11"/>
      <color rgb="FF0000FF"/>
      <name val="宋体"/>
      <charset val="134"/>
    </font>
    <font>
      <b/>
      <sz val="11"/>
      <color rgb="FF7F6000"/>
      <name val="Carlito"/>
      <charset val="134"/>
    </font>
    <font>
      <b/>
      <sz val="11"/>
      <color rgb="FF2E6B2E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FF"/>
      <name val="Carlito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23A5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25" fillId="10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0" fillId="0" borderId="0"/>
  </cellStyleXfs>
  <cellXfs count="33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3" fillId="3" borderId="0" xfId="49" applyNumberFormat="1" applyFont="1" applyFill="1" applyBorder="1" applyAlignment="1">
      <alignment horizontal="left" vertical="center" wrapText="1"/>
    </xf>
    <xf numFmtId="0" fontId="4" fillId="3" borderId="0" xfId="49" applyNumberFormat="1" applyFont="1" applyFill="1" applyBorder="1" applyAlignment="1">
      <alignment horizontal="left" vertical="center" wrapText="1"/>
    </xf>
    <xf numFmtId="0" fontId="5" fillId="4" borderId="1" xfId="49" applyNumberFormat="1" applyFont="1" applyFill="1" applyBorder="1" applyAlignment="1">
      <alignment horizontal="center" vertical="center" wrapText="1"/>
    </xf>
    <xf numFmtId="0" fontId="6" fillId="4" borderId="1" xfId="49" applyNumberFormat="1" applyFont="1" applyFill="1" applyBorder="1" applyAlignment="1">
      <alignment horizontal="center" vertical="center" wrapText="1"/>
    </xf>
    <xf numFmtId="0" fontId="7" fillId="0" borderId="1" xfId="49" applyNumberFormat="1" applyFont="1" applyFill="1" applyBorder="1" applyAlignment="1">
      <alignment horizontal="center" vertical="center" wrapText="1"/>
    </xf>
    <xf numFmtId="4" fontId="7" fillId="0" borderId="1" xfId="49" applyNumberFormat="1" applyFont="1" applyFill="1" applyBorder="1" applyAlignment="1">
      <alignment horizontal="center" vertical="center" wrapText="1"/>
    </xf>
    <xf numFmtId="0" fontId="8" fillId="0" borderId="1" xfId="49" applyNumberFormat="1" applyFont="1" applyFill="1" applyBorder="1" applyAlignment="1">
      <alignment horizontal="center" vertical="center" wrapText="1"/>
    </xf>
    <xf numFmtId="3" fontId="7" fillId="0" borderId="1" xfId="49" applyNumberFormat="1" applyFont="1" applyFill="1" applyBorder="1" applyAlignment="1">
      <alignment horizontal="center" vertical="center" wrapText="1"/>
    </xf>
    <xf numFmtId="0" fontId="9" fillId="0" borderId="1" xfId="49" applyNumberFormat="1" applyFont="1" applyFill="1" applyBorder="1" applyAlignment="1">
      <alignment horizontal="center" vertical="center" wrapText="1"/>
    </xf>
    <xf numFmtId="0" fontId="10" fillId="0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horizontal="center" vertical="center" wrapText="1"/>
    </xf>
    <xf numFmtId="3" fontId="0" fillId="0" borderId="1" xfId="49" applyNumberFormat="1" applyFont="1" applyFill="1" applyBorder="1" applyAlignment="1">
      <alignment horizontal="center" vertical="center" wrapText="1"/>
    </xf>
    <xf numFmtId="4" fontId="0" fillId="0" borderId="1" xfId="49" applyNumberFormat="1" applyFont="1" applyFill="1" applyBorder="1" applyAlignment="1">
      <alignment horizontal="center" vertical="center" wrapText="1"/>
    </xf>
    <xf numFmtId="4" fontId="0" fillId="5" borderId="1" xfId="49" applyNumberFormat="1" applyFont="1" applyFill="1" applyBorder="1" applyAlignment="1">
      <alignment horizontal="center" vertical="center" wrapText="1"/>
    </xf>
    <xf numFmtId="4" fontId="0" fillId="0" borderId="1" xfId="49" applyNumberFormat="1" applyFont="1" applyFill="1" applyBorder="1" applyAlignment="1">
      <alignment horizontal="center" vertical="center" wrapText="1"/>
    </xf>
    <xf numFmtId="0" fontId="11" fillId="0" borderId="1" xfId="49" applyNumberFormat="1" applyFont="1" applyFill="1" applyBorder="1" applyAlignment="1">
      <alignment horizontal="center" vertical="center" wrapText="1"/>
    </xf>
    <xf numFmtId="3" fontId="0" fillId="0" borderId="1" xfId="49" applyNumberFormat="1" applyFont="1" applyFill="1" applyBorder="1" applyAlignment="1">
      <alignment horizontal="center" vertical="center" wrapText="1"/>
    </xf>
    <xf numFmtId="4" fontId="0" fillId="0" borderId="1" xfId="49" applyNumberFormat="1" applyFont="1" applyFill="1" applyBorder="1" applyAlignment="1">
      <alignment horizontal="center" vertical="center" wrapText="1"/>
    </xf>
    <xf numFmtId="0" fontId="12" fillId="6" borderId="1" xfId="49" applyNumberFormat="1" applyFont="1" applyFill="1" applyBorder="1" applyAlignment="1">
      <alignment horizontal="center" vertical="center" wrapText="1"/>
    </xf>
    <xf numFmtId="3" fontId="12" fillId="6" borderId="1" xfId="49" applyNumberFormat="1" applyFont="1" applyFill="1" applyBorder="1" applyAlignment="1">
      <alignment horizontal="center" vertical="center" wrapText="1"/>
    </xf>
    <xf numFmtId="4" fontId="12" fillId="6" borderId="1" xfId="49" applyNumberFormat="1" applyFont="1" applyFill="1" applyBorder="1" applyAlignment="1">
      <alignment horizontal="center" vertical="center" wrapText="1"/>
    </xf>
    <xf numFmtId="0" fontId="5" fillId="4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horizontal="center" vertical="center"/>
    </xf>
    <xf numFmtId="0" fontId="12" fillId="6" borderId="1" xfId="49" applyNumberFormat="1" applyFont="1" applyFill="1" applyBorder="1" applyAlignment="1">
      <alignment horizontal="center" vertical="center" wrapText="1"/>
    </xf>
    <xf numFmtId="0" fontId="12" fillId="6" borderId="1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 vertical="center" wrapText="1"/>
    </xf>
    <xf numFmtId="0" fontId="5" fillId="4" borderId="0" xfId="49" applyNumberFormat="1" applyFont="1" applyFill="1" applyBorder="1" applyAlignment="1">
      <alignment horizontal="center" vertical="center" wrapText="1"/>
    </xf>
    <xf numFmtId="10" fontId="0" fillId="0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预算成本构成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"预算金额（元）"</c:f>
              <c:strCache>
                <c:ptCount val="1"/>
                <c:pt idx="0">
                  <c:v>预算金额（元）</c:v>
                </c:pt>
              </c:strCache>
            </c:strRef>
          </c:tx>
          <c:invertIfNegative val="0"/>
          <c:dLbls>
            <c:delete val="1"/>
          </c:dLbls>
          <c:cat>
            <c:strRef>
              <c:f>成本动因转换!$A$48:$A$55</c:f>
              <c:strCache>
                <c:ptCount val="8"/>
                <c:pt idx="0">
                  <c:v>食品</c:v>
                </c:pt>
                <c:pt idx="1">
                  <c:v>饮水</c:v>
                </c:pt>
                <c:pt idx="2">
                  <c:v>帐篷</c:v>
                </c:pt>
                <c:pt idx="3">
                  <c:v>棉被</c:v>
                </c:pt>
                <c:pt idx="4">
                  <c:v>特殊人群保障</c:v>
                </c:pt>
                <c:pt idx="5">
                  <c:v>运输</c:v>
                </c:pt>
                <c:pt idx="6">
                  <c:v>保险</c:v>
                </c:pt>
                <c:pt idx="7">
                  <c:v>设备</c:v>
                </c:pt>
              </c:strCache>
            </c:strRef>
          </c:cat>
          <c:val>
            <c:numRef>
              <c:f>成本动因转换!$B$48:$B$55</c:f>
              <c:numCache>
                <c:formatCode>#,##0.00</c:formatCode>
                <c:ptCount val="8"/>
                <c:pt idx="0">
                  <c:v>525000</c:v>
                </c:pt>
                <c:pt idx="1">
                  <c:v>168000</c:v>
                </c:pt>
                <c:pt idx="2">
                  <c:v>1487500</c:v>
                </c:pt>
                <c:pt idx="3">
                  <c:v>455260</c:v>
                </c:pt>
                <c:pt idx="4">
                  <c:v>89640</c:v>
                </c:pt>
                <c:pt idx="5">
                  <c:v>4505.9999999998</c:v>
                </c:pt>
                <c:pt idx="6">
                  <c:v>11000</c:v>
                </c:pt>
                <c:pt idx="7">
                  <c:v>76000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be43bf-049d-4bd3-a808-cf80b2dbe2e7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45</xdr:row>
      <xdr:rowOff>0</xdr:rowOff>
    </xdr:from>
    <xdr:to>
      <xdr:col>12</xdr:col>
      <xdr:colOff>0</xdr:colOff>
      <xdr:row>56</xdr:row>
      <xdr:rowOff>0</xdr:rowOff>
    </xdr:to>
    <xdr:graphicFrame>
      <xdr:nvGraphicFramePr>
        <xdr:cNvPr id="2" name="Chart"/>
        <xdr:cNvGraphicFramePr/>
      </xdr:nvGraphicFramePr>
      <xdr:xfrm>
        <a:off x="4419600" y="14163675"/>
        <a:ext cx="9363075" cy="3416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9"/>
  <sheetViews>
    <sheetView tabSelected="1" zoomScale="85" zoomScaleNormal="85" workbookViewId="0">
      <selection activeCell="O41" sqref="O41"/>
    </sheetView>
  </sheetViews>
  <sheetFormatPr defaultColWidth="9" defaultRowHeight="14.25"/>
  <cols>
    <col min="1" max="1" width="16" customWidth="1"/>
    <col min="2" max="2" width="14" customWidth="1"/>
    <col min="3" max="3" width="12" customWidth="1"/>
    <col min="4" max="4" width="16" customWidth="1"/>
    <col min="5" max="5" width="12" customWidth="1"/>
    <col min="6" max="6" width="16" customWidth="1"/>
    <col min="7" max="8" width="14" customWidth="1"/>
    <col min="9" max="9" width="14.875" customWidth="1"/>
    <col min="10" max="10" width="14" customWidth="1"/>
    <col min="11" max="11" width="24" customWidth="1"/>
    <col min="12" max="12" width="14" customWidth="1"/>
    <col min="13" max="13" width="12" customWidth="1"/>
    <col min="14" max="15" width="14" customWidth="1"/>
    <col min="16" max="16" width="15" customWidth="1"/>
    <col min="17" max="17" width="13" customWidth="1"/>
    <col min="18" max="18" width="10" customWidth="1"/>
    <col min="19" max="19" width="12" customWidth="1"/>
    <col min="20" max="20" width="14" customWidth="1"/>
    <col min="21" max="21" width="16" customWidth="1"/>
  </cols>
  <sheetData>
    <row r="1" ht="34" customHeight="1" spans="1:2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26" customHeight="1" spans="1:21">
      <c r="A3" s="4" t="s">
        <v>1</v>
      </c>
      <c r="B3" s="5"/>
      <c r="C3" s="5"/>
      <c r="D3" s="5"/>
      <c r="E3" s="3"/>
      <c r="F3" s="4" t="s">
        <v>2</v>
      </c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</row>
    <row r="4" ht="38" customHeight="1" spans="1:21">
      <c r="A4" s="6" t="s">
        <v>3</v>
      </c>
      <c r="B4" s="6" t="s">
        <v>4</v>
      </c>
      <c r="C4" s="6" t="s">
        <v>5</v>
      </c>
      <c r="D4" s="6" t="s">
        <v>6</v>
      </c>
      <c r="E4" s="3"/>
      <c r="F4" s="6" t="s">
        <v>7</v>
      </c>
      <c r="G4" s="6" t="s">
        <v>8</v>
      </c>
      <c r="H4" s="7" t="s">
        <v>9</v>
      </c>
      <c r="I4" s="6" t="s">
        <v>10</v>
      </c>
      <c r="J4" s="6" t="s">
        <v>11</v>
      </c>
      <c r="K4" s="6" t="s">
        <v>12</v>
      </c>
      <c r="L4" s="3"/>
      <c r="M4" s="3"/>
      <c r="N4" s="3"/>
      <c r="O4" s="3"/>
      <c r="P4" s="3"/>
      <c r="Q4" s="3"/>
      <c r="R4" s="3"/>
      <c r="S4" s="3"/>
      <c r="T4" s="3"/>
      <c r="U4" s="3"/>
    </row>
    <row r="5" ht="24" customHeight="1" spans="1:21">
      <c r="A5" s="8" t="s">
        <v>13</v>
      </c>
      <c r="B5" s="9">
        <v>3</v>
      </c>
      <c r="C5" s="8" t="s">
        <v>14</v>
      </c>
      <c r="D5" s="10" t="s">
        <v>15</v>
      </c>
      <c r="E5" s="3"/>
      <c r="F5" s="8" t="s">
        <v>16</v>
      </c>
      <c r="G5" s="9">
        <v>600</v>
      </c>
      <c r="H5" s="9">
        <v>60</v>
      </c>
      <c r="I5" s="9">
        <v>18</v>
      </c>
      <c r="J5" s="11">
        <v>600</v>
      </c>
      <c r="K5" s="12" t="s">
        <v>17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ht="24" customHeight="1" spans="1:21">
      <c r="A6" s="8" t="s">
        <v>18</v>
      </c>
      <c r="B6" s="9">
        <v>25</v>
      </c>
      <c r="C6" s="8" t="s">
        <v>19</v>
      </c>
      <c r="D6" s="10" t="s">
        <v>15</v>
      </c>
      <c r="E6" s="3"/>
      <c r="F6" s="8" t="s">
        <v>20</v>
      </c>
      <c r="G6" s="9">
        <v>400</v>
      </c>
      <c r="H6" s="9">
        <v>40</v>
      </c>
      <c r="I6" s="9">
        <v>20</v>
      </c>
      <c r="J6" s="11">
        <v>400</v>
      </c>
      <c r="K6" s="12" t="s">
        <v>17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ht="24" customHeight="1" spans="1:21">
      <c r="A7" s="8" t="s">
        <v>21</v>
      </c>
      <c r="B7" s="9">
        <v>8</v>
      </c>
      <c r="C7" s="8" t="s">
        <v>19</v>
      </c>
      <c r="D7" s="10" t="s">
        <v>15</v>
      </c>
      <c r="E7" s="3"/>
      <c r="F7" s="13" t="s">
        <v>22</v>
      </c>
      <c r="G7" s="9">
        <v>1500</v>
      </c>
      <c r="H7" s="9">
        <v>180</v>
      </c>
      <c r="I7" s="9">
        <v>42</v>
      </c>
      <c r="J7" s="11">
        <v>1504</v>
      </c>
      <c r="K7" s="12" t="s">
        <v>17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ht="24" customHeight="1" spans="1:21">
      <c r="A8" s="8" t="s">
        <v>23</v>
      </c>
      <c r="B8" s="9">
        <v>850</v>
      </c>
      <c r="C8" s="8" t="s">
        <v>24</v>
      </c>
      <c r="D8" s="8" t="s">
        <v>25</v>
      </c>
      <c r="E8" s="3"/>
      <c r="F8" s="8" t="s">
        <v>26</v>
      </c>
      <c r="G8" s="9">
        <v>700</v>
      </c>
      <c r="H8" s="9">
        <v>70</v>
      </c>
      <c r="I8" s="9">
        <v>30</v>
      </c>
      <c r="J8" s="11">
        <v>700</v>
      </c>
      <c r="K8" s="12" t="s">
        <v>17</v>
      </c>
      <c r="L8" s="3"/>
      <c r="M8" s="3"/>
      <c r="N8" s="3"/>
      <c r="O8" s="3"/>
      <c r="P8" s="3"/>
      <c r="Q8" s="3"/>
      <c r="R8" s="3"/>
      <c r="S8" s="3"/>
      <c r="T8" s="3"/>
      <c r="U8" s="3"/>
    </row>
    <row r="9" ht="24" customHeight="1" spans="1:21">
      <c r="A9" s="8" t="s">
        <v>27</v>
      </c>
      <c r="B9" s="9">
        <v>4</v>
      </c>
      <c r="C9" s="10" t="s">
        <v>28</v>
      </c>
      <c r="D9" s="10" t="s">
        <v>29</v>
      </c>
      <c r="E9" s="3"/>
      <c r="F9" s="8" t="s">
        <v>30</v>
      </c>
      <c r="G9" s="9">
        <v>900</v>
      </c>
      <c r="H9" s="9">
        <v>100</v>
      </c>
      <c r="I9" s="9">
        <v>35</v>
      </c>
      <c r="J9" s="11">
        <v>900</v>
      </c>
      <c r="K9" s="12" t="s">
        <v>17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 ht="24" customHeight="1" spans="1:21">
      <c r="A10" s="8" t="s">
        <v>31</v>
      </c>
      <c r="B10" s="9">
        <v>65</v>
      </c>
      <c r="C10" s="8" t="s">
        <v>32</v>
      </c>
      <c r="D10" s="8" t="s">
        <v>25</v>
      </c>
      <c r="E10" s="3"/>
      <c r="F10" s="13" t="s">
        <v>33</v>
      </c>
      <c r="G10" s="9">
        <v>1200</v>
      </c>
      <c r="H10" s="9">
        <v>150</v>
      </c>
      <c r="I10" s="9">
        <v>45</v>
      </c>
      <c r="J10" s="11">
        <v>1200</v>
      </c>
      <c r="K10" s="12" t="s">
        <v>17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24" customHeight="1" spans="1:21">
      <c r="A11" s="8" t="s">
        <v>34</v>
      </c>
      <c r="B11" s="9">
        <v>120</v>
      </c>
      <c r="C11" s="8" t="s">
        <v>35</v>
      </c>
      <c r="D11" s="8" t="s">
        <v>36</v>
      </c>
      <c r="E11" s="3"/>
      <c r="F11" s="8" t="s">
        <v>37</v>
      </c>
      <c r="G11" s="9">
        <v>600</v>
      </c>
      <c r="H11" s="9">
        <v>65</v>
      </c>
      <c r="I11" s="9">
        <v>28</v>
      </c>
      <c r="J11" s="11">
        <v>600</v>
      </c>
      <c r="K11" s="12" t="s">
        <v>17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24" customHeight="1" spans="1:21">
      <c r="A12" s="8" t="s">
        <v>38</v>
      </c>
      <c r="B12" s="9">
        <v>8.5</v>
      </c>
      <c r="C12" s="8" t="s">
        <v>39</v>
      </c>
      <c r="D12" s="8" t="s">
        <v>40</v>
      </c>
      <c r="E12" s="3"/>
      <c r="F12" s="8" t="s">
        <v>41</v>
      </c>
      <c r="G12" s="9">
        <v>500</v>
      </c>
      <c r="H12" s="9">
        <v>35</v>
      </c>
      <c r="I12" s="9">
        <v>22</v>
      </c>
      <c r="J12" s="11">
        <v>500</v>
      </c>
      <c r="K12" s="12" t="s">
        <v>17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24" customHeight="1" spans="1:21">
      <c r="A13" s="8" t="s">
        <v>42</v>
      </c>
      <c r="B13" s="9">
        <v>2</v>
      </c>
      <c r="C13" s="8" t="s">
        <v>43</v>
      </c>
      <c r="D13" s="8" t="s">
        <v>44</v>
      </c>
      <c r="E13" s="3"/>
      <c r="F13" s="8" t="s">
        <v>45</v>
      </c>
      <c r="G13" s="9">
        <v>600</v>
      </c>
      <c r="H13" s="9">
        <v>47</v>
      </c>
      <c r="I13" s="9">
        <v>25.0588235294</v>
      </c>
      <c r="J13" s="11">
        <v>600</v>
      </c>
      <c r="K13" s="12" t="s">
        <v>17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24" customHeight="1" spans="1:21">
      <c r="A14" s="8" t="s">
        <v>46</v>
      </c>
      <c r="B14" s="9">
        <v>50</v>
      </c>
      <c r="C14" s="8" t="s">
        <v>47</v>
      </c>
      <c r="D14" s="8" t="s">
        <v>48</v>
      </c>
      <c r="E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24" customHeight="1" spans="1:21">
      <c r="A15" s="8" t="s">
        <v>49</v>
      </c>
      <c r="B15" s="9">
        <v>220</v>
      </c>
      <c r="C15" s="8" t="s">
        <v>35</v>
      </c>
      <c r="D15" s="8" t="s">
        <v>50</v>
      </c>
      <c r="E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24" customHeight="1" spans="1:21">
      <c r="A16" s="8" t="s">
        <v>51</v>
      </c>
      <c r="B16" s="9">
        <v>3500</v>
      </c>
      <c r="C16" s="8" t="s">
        <v>52</v>
      </c>
      <c r="D16" s="8" t="s">
        <v>53</v>
      </c>
      <c r="E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24" customHeight="1" spans="1:21">
      <c r="A17" s="8" t="s">
        <v>54</v>
      </c>
      <c r="B17" s="9">
        <v>5</v>
      </c>
      <c r="C17" s="8" t="s">
        <v>55</v>
      </c>
      <c r="D17" s="8" t="s">
        <v>53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24" customHeight="1" spans="1:21">
      <c r="A18" s="8" t="s">
        <v>56</v>
      </c>
      <c r="B18" s="9">
        <v>180</v>
      </c>
      <c r="C18" s="8" t="s">
        <v>57</v>
      </c>
      <c r="D18" s="8" t="s">
        <v>53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24" customHeight="1" spans="1:21">
      <c r="A19" s="8" t="s">
        <v>58</v>
      </c>
      <c r="B19" s="9">
        <v>200</v>
      </c>
      <c r="C19" s="8" t="s">
        <v>59</v>
      </c>
      <c r="D19" s="8" t="s">
        <v>53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24" customHeight="1" spans="1:21">
      <c r="A20" s="8" t="s">
        <v>60</v>
      </c>
      <c r="B20" s="9">
        <v>75</v>
      </c>
      <c r="C20" s="8" t="s">
        <v>61</v>
      </c>
      <c r="D20" s="8" t="s">
        <v>53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24" customHeight="1" spans="1:21">
      <c r="A21" s="8" t="s">
        <v>62</v>
      </c>
      <c r="B21" s="9">
        <v>300</v>
      </c>
      <c r="C21" s="8" t="s">
        <v>63</v>
      </c>
      <c r="D21" s="8" t="s">
        <v>53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24" customHeight="1" spans="1:2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24" customHeight="1" spans="1:2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24" customHeight="1" spans="1:2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24" customHeight="1" spans="1:21">
      <c r="A25" s="4" t="s">
        <v>64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24" customHeight="1" spans="1:21">
      <c r="A26" s="6" t="s">
        <v>65</v>
      </c>
      <c r="B26" s="6" t="s">
        <v>8</v>
      </c>
      <c r="C26" s="6" t="s">
        <v>66</v>
      </c>
      <c r="D26" s="7" t="s">
        <v>67</v>
      </c>
      <c r="E26" s="6" t="s">
        <v>18</v>
      </c>
      <c r="F26" s="6" t="s">
        <v>68</v>
      </c>
      <c r="G26" s="6" t="s">
        <v>21</v>
      </c>
      <c r="H26" s="6" t="s">
        <v>69</v>
      </c>
      <c r="I26" s="6" t="s">
        <v>70</v>
      </c>
      <c r="J26" s="6" t="s">
        <v>71</v>
      </c>
      <c r="K26" s="6" t="s">
        <v>72</v>
      </c>
      <c r="L26" s="6" t="s">
        <v>73</v>
      </c>
      <c r="M26" s="6" t="s">
        <v>74</v>
      </c>
      <c r="N26" s="6" t="s">
        <v>75</v>
      </c>
      <c r="O26" s="6" t="s">
        <v>9</v>
      </c>
      <c r="P26" s="6" t="s">
        <v>76</v>
      </c>
      <c r="Q26" s="6" t="s">
        <v>77</v>
      </c>
      <c r="R26" s="6" t="s">
        <v>78</v>
      </c>
      <c r="S26" s="6" t="s">
        <v>79</v>
      </c>
      <c r="T26" s="6" t="s">
        <v>80</v>
      </c>
      <c r="U26" s="6" t="s">
        <v>81</v>
      </c>
    </row>
    <row r="27" ht="24" customHeight="1" spans="1:21">
      <c r="A27" s="14" t="s">
        <v>16</v>
      </c>
      <c r="B27" s="15">
        <v>600</v>
      </c>
      <c r="C27" s="15">
        <v>3</v>
      </c>
      <c r="D27" s="15">
        <v>1800</v>
      </c>
      <c r="E27" s="16">
        <v>25</v>
      </c>
      <c r="F27" s="17">
        <f>D27*E27</f>
        <v>45000</v>
      </c>
      <c r="G27" s="18">
        <v>8</v>
      </c>
      <c r="H27" s="17">
        <f>D27*G27</f>
        <v>14400</v>
      </c>
      <c r="I27" s="16">
        <v>150</v>
      </c>
      <c r="J27" s="18">
        <v>850</v>
      </c>
      <c r="K27" s="17">
        <f>I27*J27</f>
        <v>127500</v>
      </c>
      <c r="L27" s="16">
        <v>600</v>
      </c>
      <c r="M27" s="18">
        <v>65</v>
      </c>
      <c r="N27" s="17">
        <f>L27*M27</f>
        <v>39000</v>
      </c>
      <c r="O27" s="18">
        <v>60</v>
      </c>
      <c r="P27" s="17">
        <f>O27*120</f>
        <v>7200</v>
      </c>
      <c r="Q27" s="18">
        <v>18</v>
      </c>
      <c r="R27" s="18">
        <v>2</v>
      </c>
      <c r="S27" s="18">
        <v>8.5</v>
      </c>
      <c r="T27" s="17">
        <f>Q27*R27*S27</f>
        <v>306</v>
      </c>
      <c r="U27" s="17">
        <f>SUM(F27,H27,K27,N27,P27,T27)</f>
        <v>233406</v>
      </c>
    </row>
    <row r="28" ht="24" customHeight="1" spans="1:21">
      <c r="A28" s="14" t="s">
        <v>20</v>
      </c>
      <c r="B28" s="15">
        <v>400</v>
      </c>
      <c r="C28" s="15">
        <v>3</v>
      </c>
      <c r="D28" s="15">
        <v>1200</v>
      </c>
      <c r="E28" s="16">
        <v>25</v>
      </c>
      <c r="F28" s="17">
        <f t="shared" ref="F27:F35" si="0">D28*E28</f>
        <v>30000</v>
      </c>
      <c r="G28" s="18">
        <v>8</v>
      </c>
      <c r="H28" s="17">
        <f t="shared" ref="H27:H35" si="1">D28*G28</f>
        <v>9600</v>
      </c>
      <c r="I28" s="16">
        <v>100</v>
      </c>
      <c r="J28" s="18">
        <v>850</v>
      </c>
      <c r="K28" s="17">
        <f t="shared" ref="K27:K35" si="2">I28*J28</f>
        <v>85000</v>
      </c>
      <c r="L28" s="16">
        <v>400</v>
      </c>
      <c r="M28" s="18">
        <v>65</v>
      </c>
      <c r="N28" s="17">
        <f t="shared" ref="N27:N35" si="3">L28*M28</f>
        <v>26000</v>
      </c>
      <c r="O28" s="16">
        <v>40</v>
      </c>
      <c r="P28" s="17">
        <f t="shared" ref="P28:P35" si="4">O28*120</f>
        <v>4800</v>
      </c>
      <c r="Q28" s="16">
        <v>20</v>
      </c>
      <c r="R28" s="18">
        <v>2</v>
      </c>
      <c r="S28" s="18">
        <v>8.5</v>
      </c>
      <c r="T28" s="17">
        <f t="shared" ref="T27:T35" si="5">Q28*R28*S28</f>
        <v>340</v>
      </c>
      <c r="U28" s="17">
        <f t="shared" ref="U27:U35" si="6">SUM(F28,H28,K28,N28,P28,T28)</f>
        <v>155740</v>
      </c>
    </row>
    <row r="29" ht="24" customHeight="1" spans="1:21">
      <c r="A29" s="19" t="s">
        <v>82</v>
      </c>
      <c r="B29" s="20">
        <v>1500</v>
      </c>
      <c r="C29" s="15">
        <v>3</v>
      </c>
      <c r="D29" s="20">
        <v>4500</v>
      </c>
      <c r="E29" s="16">
        <v>25</v>
      </c>
      <c r="F29" s="17">
        <f t="shared" si="0"/>
        <v>112500</v>
      </c>
      <c r="G29" s="18">
        <v>8</v>
      </c>
      <c r="H29" s="17">
        <f t="shared" si="1"/>
        <v>36000</v>
      </c>
      <c r="I29" s="21">
        <v>375</v>
      </c>
      <c r="J29" s="18">
        <v>850</v>
      </c>
      <c r="K29" s="17">
        <f t="shared" si="2"/>
        <v>318750</v>
      </c>
      <c r="L29" s="21">
        <v>1504</v>
      </c>
      <c r="M29" s="18">
        <v>65</v>
      </c>
      <c r="N29" s="17">
        <f t="shared" si="3"/>
        <v>97760</v>
      </c>
      <c r="O29" s="21">
        <v>180</v>
      </c>
      <c r="P29" s="17">
        <f t="shared" si="4"/>
        <v>21600</v>
      </c>
      <c r="Q29" s="21">
        <v>42</v>
      </c>
      <c r="R29" s="18">
        <v>2</v>
      </c>
      <c r="S29" s="18">
        <v>8.5</v>
      </c>
      <c r="T29" s="17">
        <f t="shared" si="5"/>
        <v>714</v>
      </c>
      <c r="U29" s="17">
        <f t="shared" si="6"/>
        <v>587324</v>
      </c>
    </row>
    <row r="30" ht="24" customHeight="1" spans="1:21">
      <c r="A30" s="14" t="s">
        <v>26</v>
      </c>
      <c r="B30" s="15">
        <v>700</v>
      </c>
      <c r="C30" s="15">
        <v>3</v>
      </c>
      <c r="D30" s="15">
        <v>2100</v>
      </c>
      <c r="E30" s="16">
        <v>25</v>
      </c>
      <c r="F30" s="17">
        <f t="shared" si="0"/>
        <v>52500</v>
      </c>
      <c r="G30" s="18">
        <v>8</v>
      </c>
      <c r="H30" s="17">
        <f t="shared" si="1"/>
        <v>16800</v>
      </c>
      <c r="I30" s="16">
        <v>175</v>
      </c>
      <c r="J30" s="18">
        <v>850</v>
      </c>
      <c r="K30" s="17">
        <f t="shared" si="2"/>
        <v>148750</v>
      </c>
      <c r="L30" s="16">
        <v>700</v>
      </c>
      <c r="M30" s="18">
        <v>65</v>
      </c>
      <c r="N30" s="17">
        <f t="shared" si="3"/>
        <v>45500</v>
      </c>
      <c r="O30" s="16">
        <v>70</v>
      </c>
      <c r="P30" s="17">
        <f t="shared" si="4"/>
        <v>8400</v>
      </c>
      <c r="Q30" s="16">
        <v>30</v>
      </c>
      <c r="R30" s="18">
        <v>2</v>
      </c>
      <c r="S30" s="18">
        <v>8.5</v>
      </c>
      <c r="T30" s="17">
        <f t="shared" si="5"/>
        <v>510</v>
      </c>
      <c r="U30" s="17">
        <f t="shared" si="6"/>
        <v>272460</v>
      </c>
    </row>
    <row r="31" ht="24" customHeight="1" spans="1:21">
      <c r="A31" s="14" t="s">
        <v>30</v>
      </c>
      <c r="B31" s="15">
        <v>900</v>
      </c>
      <c r="C31" s="15">
        <v>3</v>
      </c>
      <c r="D31" s="15">
        <v>2700</v>
      </c>
      <c r="E31" s="16">
        <v>25</v>
      </c>
      <c r="F31" s="17">
        <f t="shared" si="0"/>
        <v>67500</v>
      </c>
      <c r="G31" s="18">
        <v>8</v>
      </c>
      <c r="H31" s="17">
        <f t="shared" si="1"/>
        <v>21600</v>
      </c>
      <c r="I31" s="16">
        <v>225</v>
      </c>
      <c r="J31" s="18">
        <v>850</v>
      </c>
      <c r="K31" s="17">
        <f t="shared" si="2"/>
        <v>191250</v>
      </c>
      <c r="L31" s="18">
        <v>900</v>
      </c>
      <c r="M31" s="18">
        <v>65</v>
      </c>
      <c r="N31" s="17">
        <f t="shared" si="3"/>
        <v>58500</v>
      </c>
      <c r="O31" s="18">
        <v>100</v>
      </c>
      <c r="P31" s="17">
        <f t="shared" si="4"/>
        <v>12000</v>
      </c>
      <c r="Q31" s="18">
        <v>35</v>
      </c>
      <c r="R31" s="18">
        <v>2</v>
      </c>
      <c r="S31" s="18">
        <v>8.5</v>
      </c>
      <c r="T31" s="17">
        <f t="shared" si="5"/>
        <v>595</v>
      </c>
      <c r="U31" s="17">
        <f t="shared" si="6"/>
        <v>351445</v>
      </c>
    </row>
    <row r="32" ht="24" customHeight="1" spans="1:21">
      <c r="A32" s="14" t="s">
        <v>83</v>
      </c>
      <c r="B32" s="15">
        <v>1200</v>
      </c>
      <c r="C32" s="15">
        <v>3</v>
      </c>
      <c r="D32" s="15">
        <v>3600</v>
      </c>
      <c r="E32" s="16">
        <v>25</v>
      </c>
      <c r="F32" s="17">
        <f t="shared" si="0"/>
        <v>90000</v>
      </c>
      <c r="G32" s="18">
        <v>8</v>
      </c>
      <c r="H32" s="17">
        <f t="shared" si="1"/>
        <v>28800</v>
      </c>
      <c r="I32" s="18">
        <v>300</v>
      </c>
      <c r="J32" s="18">
        <v>850</v>
      </c>
      <c r="K32" s="17">
        <f t="shared" si="2"/>
        <v>255000</v>
      </c>
      <c r="L32" s="18">
        <v>1200</v>
      </c>
      <c r="M32" s="18">
        <v>65</v>
      </c>
      <c r="N32" s="17">
        <f t="shared" si="3"/>
        <v>78000</v>
      </c>
      <c r="O32" s="18">
        <v>150</v>
      </c>
      <c r="P32" s="17">
        <f t="shared" si="4"/>
        <v>18000</v>
      </c>
      <c r="Q32" s="18">
        <v>45</v>
      </c>
      <c r="R32" s="18">
        <v>2</v>
      </c>
      <c r="S32" s="18">
        <v>8.5</v>
      </c>
      <c r="T32" s="17">
        <f t="shared" si="5"/>
        <v>765</v>
      </c>
      <c r="U32" s="17">
        <f t="shared" si="6"/>
        <v>470565</v>
      </c>
    </row>
    <row r="33" ht="24" customHeight="1" spans="1:21">
      <c r="A33" s="14" t="s">
        <v>37</v>
      </c>
      <c r="B33" s="15">
        <v>600</v>
      </c>
      <c r="C33" s="15">
        <v>3</v>
      </c>
      <c r="D33" s="15">
        <v>1800</v>
      </c>
      <c r="E33" s="16">
        <v>25</v>
      </c>
      <c r="F33" s="17">
        <f t="shared" si="0"/>
        <v>45000</v>
      </c>
      <c r="G33" s="18">
        <v>8</v>
      </c>
      <c r="H33" s="17">
        <f t="shared" si="1"/>
        <v>14400</v>
      </c>
      <c r="I33" s="18">
        <v>150</v>
      </c>
      <c r="J33" s="18">
        <v>850</v>
      </c>
      <c r="K33" s="17">
        <f t="shared" si="2"/>
        <v>127500</v>
      </c>
      <c r="L33" s="18">
        <v>600</v>
      </c>
      <c r="M33" s="18">
        <v>65</v>
      </c>
      <c r="N33" s="17">
        <f t="shared" si="3"/>
        <v>39000</v>
      </c>
      <c r="O33" s="18">
        <v>65</v>
      </c>
      <c r="P33" s="17">
        <f t="shared" si="4"/>
        <v>7800</v>
      </c>
      <c r="Q33" s="18">
        <v>28</v>
      </c>
      <c r="R33" s="18">
        <v>2</v>
      </c>
      <c r="S33" s="18">
        <v>8.5</v>
      </c>
      <c r="T33" s="17">
        <f t="shared" si="5"/>
        <v>476</v>
      </c>
      <c r="U33" s="17">
        <f t="shared" si="6"/>
        <v>234176</v>
      </c>
    </row>
    <row r="34" ht="24" customHeight="1" spans="1:21">
      <c r="A34" s="14" t="s">
        <v>41</v>
      </c>
      <c r="B34" s="15">
        <v>500</v>
      </c>
      <c r="C34" s="15">
        <v>3</v>
      </c>
      <c r="D34" s="15">
        <v>1500</v>
      </c>
      <c r="E34" s="16">
        <v>25</v>
      </c>
      <c r="F34" s="17">
        <f t="shared" si="0"/>
        <v>37500</v>
      </c>
      <c r="G34" s="18">
        <v>8</v>
      </c>
      <c r="H34" s="17">
        <f t="shared" si="1"/>
        <v>12000</v>
      </c>
      <c r="I34" s="18">
        <v>125</v>
      </c>
      <c r="J34" s="18">
        <v>850</v>
      </c>
      <c r="K34" s="17">
        <f t="shared" si="2"/>
        <v>106250</v>
      </c>
      <c r="L34" s="18">
        <v>500</v>
      </c>
      <c r="M34" s="18">
        <v>65</v>
      </c>
      <c r="N34" s="17">
        <f t="shared" si="3"/>
        <v>32500</v>
      </c>
      <c r="O34" s="18">
        <v>35</v>
      </c>
      <c r="P34" s="17">
        <f t="shared" si="4"/>
        <v>4200</v>
      </c>
      <c r="Q34" s="18">
        <v>22</v>
      </c>
      <c r="R34" s="18">
        <v>2</v>
      </c>
      <c r="S34" s="18">
        <v>8.5</v>
      </c>
      <c r="T34" s="17">
        <f t="shared" si="5"/>
        <v>374</v>
      </c>
      <c r="U34" s="17">
        <f t="shared" si="6"/>
        <v>192824</v>
      </c>
    </row>
    <row r="35" ht="24" customHeight="1" spans="1:21">
      <c r="A35" s="14" t="s">
        <v>45</v>
      </c>
      <c r="B35" s="15">
        <v>600</v>
      </c>
      <c r="C35" s="15">
        <v>3</v>
      </c>
      <c r="D35" s="15">
        <v>1800</v>
      </c>
      <c r="E35" s="16">
        <v>25</v>
      </c>
      <c r="F35" s="17">
        <f t="shared" si="0"/>
        <v>45000</v>
      </c>
      <c r="G35" s="18">
        <v>8</v>
      </c>
      <c r="H35" s="17">
        <f t="shared" si="1"/>
        <v>14400</v>
      </c>
      <c r="I35" s="18">
        <v>150</v>
      </c>
      <c r="J35" s="18">
        <v>850</v>
      </c>
      <c r="K35" s="17">
        <f t="shared" si="2"/>
        <v>127500</v>
      </c>
      <c r="L35" s="18">
        <v>600</v>
      </c>
      <c r="M35" s="18">
        <v>65</v>
      </c>
      <c r="N35" s="17">
        <f t="shared" si="3"/>
        <v>39000</v>
      </c>
      <c r="O35" s="18">
        <v>47</v>
      </c>
      <c r="P35" s="17">
        <f t="shared" si="4"/>
        <v>5640</v>
      </c>
      <c r="Q35" s="18">
        <v>25.0588235294</v>
      </c>
      <c r="R35" s="18">
        <v>2</v>
      </c>
      <c r="S35" s="18">
        <v>8.5</v>
      </c>
      <c r="T35" s="17">
        <f t="shared" si="5"/>
        <v>425.9999999998</v>
      </c>
      <c r="U35" s="17">
        <f t="shared" si="6"/>
        <v>231966</v>
      </c>
    </row>
    <row r="36" ht="24" customHeight="1" spans="1:21">
      <c r="A36" s="22" t="s">
        <v>84</v>
      </c>
      <c r="B36" s="23">
        <f>SUM(B27:B35)</f>
        <v>7000</v>
      </c>
      <c r="C36" s="23"/>
      <c r="D36" s="23">
        <f>SUM(D27:D35)</f>
        <v>21000</v>
      </c>
      <c r="E36" s="24"/>
      <c r="F36" s="24">
        <f>SUM(F27:F35)</f>
        <v>525000</v>
      </c>
      <c r="G36" s="24"/>
      <c r="H36" s="24">
        <f>SUM(H27:H35)</f>
        <v>168000</v>
      </c>
      <c r="I36" s="24">
        <f>SUM(I27:I35)</f>
        <v>1750</v>
      </c>
      <c r="J36" s="24"/>
      <c r="K36" s="24">
        <f>SUM(K27:K35)</f>
        <v>1487500</v>
      </c>
      <c r="L36" s="24">
        <f>SUM(L27:L35)</f>
        <v>7004</v>
      </c>
      <c r="M36" s="24"/>
      <c r="N36" s="24">
        <f>SUM(N27:N35)</f>
        <v>455260</v>
      </c>
      <c r="O36" s="24">
        <f>SUM(O27:O35)</f>
        <v>747</v>
      </c>
      <c r="P36" s="24">
        <f>SUM(P27:P35)</f>
        <v>89640</v>
      </c>
      <c r="Q36" s="24">
        <f>SUM(Q27:Q35)</f>
        <v>265.0588235294</v>
      </c>
      <c r="R36" s="24"/>
      <c r="S36" s="24"/>
      <c r="T36" s="24">
        <f>SUM(T27:T35)</f>
        <v>4505.9999999998</v>
      </c>
      <c r="U36" s="24">
        <f>SUM(U27:U35)</f>
        <v>2729906</v>
      </c>
    </row>
    <row r="37" ht="24" customHeight="1" spans="1:2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24" customHeight="1" spans="1:21">
      <c r="A38" s="5" t="s">
        <v>85</v>
      </c>
      <c r="B38" s="5"/>
      <c r="C38" s="5"/>
      <c r="D38" s="5"/>
      <c r="E38" s="5"/>
      <c r="F38" s="3"/>
      <c r="G38" s="4" t="s">
        <v>86</v>
      </c>
      <c r="H38" s="5"/>
      <c r="I38" s="5"/>
      <c r="J38" s="5"/>
      <c r="K38" s="5"/>
      <c r="L38" s="5"/>
      <c r="M38" s="3"/>
      <c r="N38" s="3"/>
      <c r="O38" s="3"/>
      <c r="P38" s="3"/>
      <c r="Q38" s="3"/>
      <c r="R38" s="3"/>
      <c r="S38" s="3"/>
      <c r="T38" s="3"/>
      <c r="U38" s="3"/>
    </row>
    <row r="39" ht="34" customHeight="1" spans="1:21">
      <c r="A39" s="6" t="s">
        <v>87</v>
      </c>
      <c r="B39" s="6" t="s">
        <v>88</v>
      </c>
      <c r="C39" s="6" t="s">
        <v>89</v>
      </c>
      <c r="D39" s="6" t="s">
        <v>90</v>
      </c>
      <c r="E39" s="6" t="s">
        <v>91</v>
      </c>
      <c r="F39" s="3"/>
      <c r="G39" s="6" t="s">
        <v>87</v>
      </c>
      <c r="H39" s="7" t="s">
        <v>92</v>
      </c>
      <c r="I39" s="25" t="s">
        <v>6</v>
      </c>
      <c r="J39" s="25"/>
      <c r="M39" s="3"/>
      <c r="N39" s="3"/>
      <c r="O39" s="3"/>
      <c r="P39" s="3"/>
      <c r="Q39" s="3"/>
      <c r="R39" s="3"/>
      <c r="S39" s="3"/>
      <c r="T39" s="3"/>
      <c r="U39" s="3"/>
    </row>
    <row r="40" ht="25" customHeight="1" spans="1:21">
      <c r="A40" s="26" t="s">
        <v>93</v>
      </c>
      <c r="B40" s="18">
        <f>_xlfn.XLOOKUP("冲锋舟数量",$A$5:$A$23,$B$5:$B$23)</f>
        <v>5</v>
      </c>
      <c r="C40" s="18">
        <f>_xlfn.XLOOKUP("冲锋舟单价",$A$5:$A$23,$B$5:$B$23)</f>
        <v>3500</v>
      </c>
      <c r="D40" s="26" t="s">
        <v>94</v>
      </c>
      <c r="E40" s="18">
        <f>B40*C40</f>
        <v>17500</v>
      </c>
      <c r="F40" s="3"/>
      <c r="G40" s="26" t="s">
        <v>95</v>
      </c>
      <c r="H40" s="17">
        <f>U36</f>
        <v>2729906</v>
      </c>
      <c r="I40" s="27" t="s">
        <v>96</v>
      </c>
      <c r="J40" s="27"/>
      <c r="M40" s="3"/>
      <c r="N40" s="3"/>
      <c r="O40" s="3"/>
      <c r="P40" s="3"/>
      <c r="Q40" s="3"/>
      <c r="R40" s="3"/>
      <c r="S40" s="3"/>
      <c r="T40" s="3"/>
      <c r="U40" s="3"/>
    </row>
    <row r="41" ht="24" customHeight="1" spans="1:21">
      <c r="A41" s="26" t="s">
        <v>97</v>
      </c>
      <c r="B41" s="18">
        <f>_xlfn.XLOOKUP("急救包数量",$A$5:$A$23,$B$5:$B$23)</f>
        <v>200</v>
      </c>
      <c r="C41" s="18">
        <f>_xlfn.XLOOKUP("急救包单价",$A$5:$A$23,$B$5:$B$23)</f>
        <v>180</v>
      </c>
      <c r="D41" s="26" t="s">
        <v>94</v>
      </c>
      <c r="E41" s="18">
        <f>B41*C41</f>
        <v>36000</v>
      </c>
      <c r="F41" s="3"/>
      <c r="G41" s="26" t="s">
        <v>98</v>
      </c>
      <c r="H41" s="17">
        <f>50*220</f>
        <v>11000</v>
      </c>
      <c r="I41" s="27" t="s">
        <v>99</v>
      </c>
      <c r="J41" s="27"/>
      <c r="M41" s="3"/>
      <c r="P41" s="3"/>
      <c r="Q41" s="3"/>
      <c r="R41" s="3"/>
      <c r="S41" s="3"/>
      <c r="T41" s="3"/>
      <c r="U41" s="3"/>
    </row>
    <row r="42" ht="24" customHeight="1" spans="1:21">
      <c r="A42" s="26" t="s">
        <v>100</v>
      </c>
      <c r="B42" s="18">
        <f>_xlfn.XLOOKUP("救生衣数量",$A$5:$A$23,$B$5:$B$23)</f>
        <v>300</v>
      </c>
      <c r="C42" s="18">
        <f>_xlfn.XLOOKUP("救生衣单价",$A$5:$A$23,$B$5:$B$23)</f>
        <v>75</v>
      </c>
      <c r="D42" s="26" t="s">
        <v>94</v>
      </c>
      <c r="E42" s="18">
        <f>B42*C42</f>
        <v>22500</v>
      </c>
      <c r="F42" s="3"/>
      <c r="G42" s="26" t="s">
        <v>53</v>
      </c>
      <c r="H42" s="17">
        <f>E43</f>
        <v>76000</v>
      </c>
      <c r="I42" s="27" t="s">
        <v>101</v>
      </c>
      <c r="J42" s="27"/>
      <c r="M42" s="3"/>
      <c r="P42" s="3"/>
      <c r="Q42" s="3"/>
      <c r="R42" s="3"/>
      <c r="S42" s="3"/>
      <c r="T42" s="3"/>
      <c r="U42" s="3"/>
    </row>
    <row r="43" ht="32" customHeight="1" spans="1:21">
      <c r="A43" s="28" t="s">
        <v>102</v>
      </c>
      <c r="B43" s="28"/>
      <c r="C43" s="28"/>
      <c r="D43" s="22" t="s">
        <v>101</v>
      </c>
      <c r="E43" s="24">
        <f>SUM(E40:E42)</f>
        <v>76000</v>
      </c>
      <c r="F43" s="3"/>
      <c r="G43" s="22" t="s">
        <v>103</v>
      </c>
      <c r="H43" s="24">
        <f>SUM(H40:H42)</f>
        <v>2816906</v>
      </c>
      <c r="I43" s="29" t="s">
        <v>104</v>
      </c>
      <c r="J43" s="29"/>
      <c r="M43" s="3"/>
      <c r="P43" s="3"/>
      <c r="Q43" s="3"/>
      <c r="R43" s="3"/>
      <c r="S43" s="3"/>
      <c r="T43" s="3"/>
      <c r="U43" s="3"/>
    </row>
    <row r="44" ht="24" customHeight="1" spans="1:21">
      <c r="F44" s="3"/>
      <c r="G44" s="3"/>
      <c r="H44" s="30"/>
      <c r="I44" s="30"/>
      <c r="J44" s="30"/>
      <c r="K44" s="30"/>
      <c r="L44" s="30"/>
      <c r="M44" s="3"/>
      <c r="P44" s="3"/>
      <c r="Q44" s="3"/>
      <c r="R44" s="3"/>
      <c r="S44" s="3"/>
      <c r="T44" s="3"/>
      <c r="U44" s="3"/>
    </row>
    <row r="45" ht="24" customHeight="1" spans="1:2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24" customHeight="1" spans="1:21">
      <c r="A46" s="5" t="s">
        <v>105</v>
      </c>
      <c r="B46" s="5"/>
      <c r="C46" s="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29" customHeight="1" spans="1:21">
      <c r="A47" s="31" t="s">
        <v>106</v>
      </c>
      <c r="B47" s="31" t="s">
        <v>91</v>
      </c>
      <c r="C47" s="31" t="s">
        <v>107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24" customHeight="1" spans="1:21">
      <c r="A48" s="26" t="s">
        <v>108</v>
      </c>
      <c r="B48" s="18">
        <f>F36</f>
        <v>525000</v>
      </c>
      <c r="C48" s="32">
        <f t="shared" ref="C48:C55" si="7">B48/$H$43</f>
        <v>0.186374696209245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24" customHeight="1" spans="1:21">
      <c r="A49" s="26" t="s">
        <v>109</v>
      </c>
      <c r="B49" s="18">
        <f>H36</f>
        <v>168000</v>
      </c>
      <c r="C49" s="32">
        <f t="shared" si="7"/>
        <v>0.0596399027869585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24" customHeight="1" spans="1:21">
      <c r="A50" s="26" t="s">
        <v>110</v>
      </c>
      <c r="B50" s="18">
        <f>K36</f>
        <v>1487500</v>
      </c>
      <c r="C50" s="32">
        <f t="shared" si="7"/>
        <v>0.528061639259528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24" customHeight="1" spans="1:21">
      <c r="A51" s="26" t="s">
        <v>111</v>
      </c>
      <c r="B51" s="18">
        <f>N36</f>
        <v>455260</v>
      </c>
      <c r="C51" s="32">
        <f t="shared" si="7"/>
        <v>0.16161703656423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24" customHeight="1" spans="1:21">
      <c r="A52" s="26" t="s">
        <v>34</v>
      </c>
      <c r="B52" s="18">
        <f>P36</f>
        <v>89640</v>
      </c>
      <c r="C52" s="32">
        <f t="shared" si="7"/>
        <v>0.0318221481298985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24" customHeight="1" spans="1:21">
      <c r="A53" s="26" t="s">
        <v>112</v>
      </c>
      <c r="B53" s="18">
        <f>T36</f>
        <v>4505.9999999998</v>
      </c>
      <c r="C53" s="32">
        <f t="shared" si="7"/>
        <v>0.00159962739260728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24" customHeight="1" spans="1:21">
      <c r="A54" s="26" t="s">
        <v>113</v>
      </c>
      <c r="B54" s="18">
        <f>H41</f>
        <v>11000</v>
      </c>
      <c r="C54" s="32">
        <f t="shared" si="7"/>
        <v>0.00390499363486038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24" customHeight="1" spans="1:21">
      <c r="A55" s="26" t="s">
        <v>114</v>
      </c>
      <c r="B55" s="18">
        <f>$E$43</f>
        <v>76000</v>
      </c>
      <c r="C55" s="32">
        <f t="shared" si="7"/>
        <v>0.0269799560226717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24" customHeight="1" spans="1:2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34" customHeight="1"/>
    <row r="58" ht="34" customHeight="1"/>
    <row r="59" ht="34" customHeight="1"/>
  </sheetData>
  <mergeCells count="13">
    <mergeCell ref="A1:U1"/>
    <mergeCell ref="A3:D3"/>
    <mergeCell ref="F3:K3"/>
    <mergeCell ref="A25:U25"/>
    <mergeCell ref="A38:E38"/>
    <mergeCell ref="G38:L38"/>
    <mergeCell ref="I39:J39"/>
    <mergeCell ref="I40:J40"/>
    <mergeCell ref="I41:J41"/>
    <mergeCell ref="I42:J42"/>
    <mergeCell ref="A43:C43"/>
    <mergeCell ref="I43:J43"/>
    <mergeCell ref="A46:C4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成本动因转换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兮夕颜</cp:lastModifiedBy>
  <dcterms:created xsi:type="dcterms:W3CDTF">2026-08-12T21:15:14Z</dcterms:created>
  <dcterms:modified xsi:type="dcterms:W3CDTF">2026-08-12T21:40:10Z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235587ADEE3E46269937B07A0A0011F2_13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