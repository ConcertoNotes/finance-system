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xw追梦者\Downloads\"/>
    </mc:Choice>
  </mc:AlternateContent>
  <bookViews>
    <workbookView windowWidth="20750" windowHeight="10480"/>
  </bookViews>
  <sheets>
    <sheet name="分层采购价格基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<sst xmlns="http://schemas.openxmlformats.org/spreadsheetml/2006/main" count="219" uniqueCount="86">
  <si>
    <r>
      <t>洪涝应急救援</t>
    </r>
    <r>
      <rPr>
        <b/>
        <sz val="16"/>
        <color rgb="FFFFFFFF"/>
        <rFont val="Carlito"/>
        <charset val="134"/>
      </rPr>
      <t>——</t>
    </r>
    <r>
      <rPr>
        <b/>
        <sz val="16"/>
        <color rgb="FFFFFFFF"/>
        <rFont val="宋体"/>
        <charset val="134"/>
      </rPr>
      <t>分层采购价格基准计算表</t>
    </r>
  </si>
  <si>
    <t>一、价格数据采集</t>
  </si>
  <si>
    <t>物资</t>
  </si>
  <si>
    <t>采购路径</t>
  </si>
  <si>
    <t>历史价</t>
  </si>
  <si>
    <t>市场参考价</t>
  </si>
  <si>
    <t>S1报价</t>
  </si>
  <si>
    <t>S2报价</t>
  </si>
  <si>
    <t>S3报价</t>
  </si>
  <si>
    <t>税费口径</t>
  </si>
  <si>
    <t>正常运输费</t>
  </si>
  <si>
    <t>应急交付附加成本</t>
  </si>
  <si>
    <t>报价口径状态</t>
  </si>
  <si>
    <t>询价凭证</t>
  </si>
  <si>
    <t>黄色预警阈值</t>
  </si>
  <si>
    <t>红色预警阈值</t>
  </si>
  <si>
    <t>帐篷</t>
  </si>
  <si>
    <t>合同采购</t>
  </si>
  <si>
    <t>含税货物单价</t>
  </si>
  <si>
    <t>单独列示</t>
  </si>
  <si>
    <t>统一</t>
  </si>
  <si>
    <t>三家有效报价/市场参考</t>
  </si>
  <si>
    <t>棉被</t>
  </si>
  <si>
    <t>救生衣</t>
  </si>
  <si>
    <t>急救包</t>
  </si>
  <si>
    <t>饮用水</t>
  </si>
  <si>
    <t>应急零售/框架协议直采</t>
  </si>
  <si>
    <t>含税零售价/协议价</t>
  </si>
  <si>
    <t>如发生则单列</t>
  </si>
  <si>
    <t>不参与供应商评分</t>
  </si>
  <si>
    <t>商超即时价/框架协议/销售凭证</t>
  </si>
  <si>
    <t>食品</t>
  </si>
  <si>
    <t>二、《4类合同物资价格基准表》</t>
  </si>
  <si>
    <t>S1</t>
  </si>
  <si>
    <t>S2</t>
  </si>
  <si>
    <t>S3</t>
  </si>
  <si>
    <t>供应商平均价</t>
  </si>
  <si>
    <t>供应商中位数</t>
  </si>
  <si>
    <t>最低报价</t>
  </si>
  <si>
    <t>最高报价</t>
  </si>
  <si>
    <t>报价区间</t>
  </si>
  <si>
    <t>综合价格基准</t>
  </si>
  <si>
    <t>三、《2类生活保障物资应急零售/框架直采价格核验表》</t>
  </si>
  <si>
    <t>直采控制价</t>
  </si>
  <si>
    <t>控制价较历史价偏差</t>
  </si>
  <si>
    <t>控制价较市场价偏差</t>
  </si>
  <si>
    <t>价格口径</t>
  </si>
  <si>
    <t>配送费</t>
  </si>
  <si>
    <t>供应商评分</t>
  </si>
  <si>
    <t>含税零售价/框架协议结算价</t>
  </si>
  <si>
    <t>如单独发生则单列</t>
  </si>
  <si>
    <t>不纳入S1/S2/S3评分</t>
  </si>
  <si>
    <t>四、《价格偏差分析表》</t>
  </si>
  <si>
    <t>综合基准价</t>
  </si>
  <si>
    <t>S1偏差率</t>
  </si>
  <si>
    <t>S1预警</t>
  </si>
  <si>
    <t>S2偏差率</t>
  </si>
  <si>
    <t>S2预警</t>
  </si>
  <si>
    <t>S3偏差率</t>
  </si>
  <si>
    <t>S3预警</t>
  </si>
  <si>
    <t>黄色阈值</t>
  </si>
  <si>
    <t>红色阈值</t>
  </si>
  <si>
    <t>处置建议</t>
  </si>
  <si>
    <t>正常</t>
  </si>
  <si>
    <t>五、《报价口径校验单》</t>
  </si>
  <si>
    <t>采购方式</t>
  </si>
  <si>
    <t>报价是否含税</t>
  </si>
  <si>
    <t>货物单价口径</t>
  </si>
  <si>
    <t>运输费是否分列</t>
  </si>
  <si>
    <t>应急人工/附加成本是否分列</t>
  </si>
  <si>
    <t>凭证要求</t>
  </si>
  <si>
    <t>市场参考</t>
  </si>
  <si>
    <t>历史采购</t>
  </si>
  <si>
    <t>口径校验结果</t>
  </si>
  <si>
    <t>后续要求</t>
  </si>
  <si>
    <t>是</t>
  </si>
  <si>
    <t>报价单/询价记录/截图</t>
  </si>
  <si>
    <t>有效</t>
  </si>
  <si>
    <t>已采集</t>
  </si>
  <si>
    <t>通过</t>
  </si>
  <si>
    <t>合同变更/紧急分单重新校验</t>
  </si>
  <si>
    <t>应急零售/框架直采</t>
  </si>
  <si>
    <t>如发生则分列</t>
  </si>
  <si>
    <t>询价截图/订单/销售凭证</t>
  </si>
  <si>
    <t>不适用</t>
  </si>
  <si>
    <t>临时补货重新校验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</si>
</sst>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;[Red]\(#,##0.00\);\-"/>
  </numFmts>
  <fonts count="30">
    <font>
      <sz val="11"/>
      <name val="Carlito"/>
      <charset val="134"/>
    </font>
    <font>
      <b/>
      <sz val="16"/>
      <color rgb="FFFFFFFF"/>
      <name val="宋体"/>
      <charset val="134"/>
    </font>
    <font>
      <b/>
      <sz val="16"/>
      <color rgb="FFFFFFFF"/>
      <name val="Carlito"/>
      <charset val="134"/>
    </font>
    <font>
      <b/>
      <sz val="11"/>
      <color rgb="FFFFFFFF"/>
      <name val="宋体"/>
      <charset val="134"/>
    </font>
    <font>
      <b/>
      <sz val="11"/>
      <color rgb="FFFFFFFF"/>
      <name val="Carlito"/>
      <charset val="134"/>
    </font>
    <font>
      <b/>
      <sz val="11"/>
      <color rgb="FF17365D"/>
      <name val="Carlito"/>
      <charset val="134"/>
    </font>
    <font>
      <sz val="11"/>
      <color rgb="FF0000FF"/>
      <name val="Carlito"/>
      <charset val="134"/>
    </font>
    <font>
      <sz val="11"/>
      <name val="宋体"/>
      <charset val="134"/>
    </font>
    <font>
      <b/>
      <sz val="11"/>
      <color rgb="FF9C0006"/>
      <name val="Carlito"/>
      <charset val="134"/>
    </font>
    <font>
      <b/>
      <sz val="11"/>
      <color rgb="FF2E6B2E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23A5A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3" tint="0.7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3" fillId="3" borderId="0" xfId="49" applyNumberFormat="1" applyFont="1" applyFill="1" applyBorder="1" applyAlignment="1">
      <alignment horizontal="left" vertical="center" wrapText="1"/>
    </xf>
    <xf numFmtId="0" fontId="4" fillId="3" borderId="0" xfId="49" applyNumberFormat="1" applyFont="1" applyFill="1" applyBorder="1" applyAlignment="1">
      <alignment horizontal="left" vertical="center" wrapText="1"/>
    </xf>
    <xf numFmtId="0" fontId="5" fillId="4" borderId="1" xfId="49" applyNumberFormat="1" applyFont="1" applyFill="1" applyBorder="1" applyAlignment="1">
      <alignment horizontal="center" vertical="center" wrapText="1"/>
    </xf>
    <xf numFmtId="0" fontId="6" fillId="0" borderId="1" xfId="49" applyNumberFormat="1" applyFont="1" applyFill="1" applyBorder="1" applyAlignment="1">
      <alignment horizontal="center" vertical="center" wrapText="1"/>
    </xf>
    <xf numFmtId="176" fontId="6" fillId="0" borderId="1" xfId="49" applyNumberFormat="1" applyFont="1" applyFill="1" applyBorder="1" applyAlignment="1">
      <alignment horizontal="center" vertical="center" wrapText="1"/>
    </xf>
    <xf numFmtId="10" fontId="6" fillId="0" borderId="1" xfId="49" applyNumberFormat="1" applyFont="1" applyFill="1" applyBorder="1" applyAlignment="1">
      <alignment horizontal="center" vertical="center" wrapText="1"/>
    </xf>
    <xf numFmtId="0" fontId="7" fillId="0" borderId="1" xfId="49" applyNumberFormat="1" applyFont="1" applyFill="1" applyBorder="1" applyAlignment="1">
      <alignment horizontal="center" vertical="center" wrapText="1"/>
    </xf>
    <xf numFmtId="176" fontId="0" fillId="0" borderId="1" xfId="49" applyNumberFormat="1" applyFont="1" applyFill="1" applyBorder="1" applyAlignment="1">
      <alignment horizontal="center" vertical="center" wrapText="1"/>
    </xf>
    <xf numFmtId="176" fontId="0" fillId="5" borderId="1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horizontal="center" vertical="center" wrapText="1"/>
    </xf>
    <xf numFmtId="0" fontId="4" fillId="3" borderId="0" xfId="49" applyNumberFormat="1" applyFont="1" applyFill="1" applyAlignment="1">
      <alignment horizontal="left" vertical="center" wrapText="1"/>
    </xf>
    <xf numFmtId="10" fontId="0" fillId="5" borderId="1" xfId="49" applyNumberFormat="1" applyFont="1" applyFill="1" applyBorder="1" applyAlignment="1">
      <alignment horizontal="center" vertical="center" wrapText="1"/>
    </xf>
    <xf numFmtId="0" fontId="7" fillId="0" borderId="0" xfId="49" applyNumberFormat="1" applyFont="1" applyFill="1" applyBorder="1" applyAlignment="1">
      <alignment horizontal="center" vertical="center" wrapText="1"/>
    </xf>
    <xf numFmtId="0" fontId="0" fillId="5" borderId="1" xfId="49" applyNumberFormat="1" applyFont="1" applyFill="1" applyBorder="1" applyAlignment="1">
      <alignment horizontal="center" vertical="center" wrapText="1"/>
    </xf>
    <xf numFmtId="0" fontId="8" fillId="0" borderId="1" xfId="49" applyNumberFormat="1" applyFont="1" applyFill="1" applyBorder="1" applyAlignment="1">
      <alignment horizontal="center" vertical="center" wrapText="1"/>
    </xf>
    <xf numFmtId="10" fontId="0" fillId="0" borderId="1" xfId="49" applyNumberFormat="1" applyFont="1" applyFill="1" applyBorder="1" applyAlignment="1">
      <alignment horizontal="center" vertical="center" wrapText="1"/>
    </xf>
    <xf numFmtId="0" fontId="9" fillId="6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2E6B2E"/>
      </font>
      <fill>
        <patternFill patternType="solid">
          <b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4类合同物资供应商报价对比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"历史价"</c:f>
              <c:strCache>
                <c:ptCount val="1"/>
                <c:pt idx="0">
                  <c:v>历史价</c:v>
                </c:pt>
              </c:strCache>
            </c:strRef>
          </c:tx>
          <c:invertIfNegative val="0"/>
          <c:dLbls>
            <c:delete val="1"/>
          </c:dLbls>
          <c:cat>
            <c:strRef>
              <c:f>分层采购价格基准!$A$14:$A$17</c:f>
              <c:strCache>
                <c:ptCount val="4"/>
                <c:pt idx="0">
                  <c:v>帐篷</c:v>
                </c:pt>
                <c:pt idx="1">
                  <c:v>棉被</c:v>
                </c:pt>
                <c:pt idx="2">
                  <c:v>救生衣</c:v>
                </c:pt>
                <c:pt idx="3">
                  <c:v>急救包</c:v>
                </c:pt>
              </c:strCache>
            </c:strRef>
          </c:cat>
          <c:val>
            <c:numRef>
              <c:f>分层采购价格基准!$B$14:$B$17</c:f>
              <c:numCache>
                <c:formatCode>#,##0.00;[Red]\(#,##0.00\);\-</c:formatCode>
                <c:ptCount val="4"/>
                <c:pt idx="0">
                  <c:v>850</c:v>
                </c:pt>
                <c:pt idx="1">
                  <c:v>65</c:v>
                </c:pt>
                <c:pt idx="2">
                  <c:v>75</c:v>
                </c:pt>
                <c:pt idx="3">
                  <c:v>180</c:v>
                </c:pt>
              </c:numCache>
            </c:numRef>
          </c:val>
        </c:ser>
        <c:ser>
          <c:idx val="1"/>
          <c:order val="1"/>
          <c:tx>
            <c:strRef>
              <c:f>"市场参考价"</c:f>
              <c:strCache>
                <c:ptCount val="1"/>
                <c:pt idx="0">
                  <c:v>市场参考价</c:v>
                </c:pt>
              </c:strCache>
            </c:strRef>
          </c:tx>
          <c:invertIfNegative val="0"/>
          <c:dLbls>
            <c:delete val="1"/>
          </c:dLbls>
          <c:cat>
            <c:strRef>
              <c:f>分层采购价格基准!$A$14:$A$17</c:f>
              <c:strCache>
                <c:ptCount val="4"/>
                <c:pt idx="0">
                  <c:v>帐篷</c:v>
                </c:pt>
                <c:pt idx="1">
                  <c:v>棉被</c:v>
                </c:pt>
                <c:pt idx="2">
                  <c:v>救生衣</c:v>
                </c:pt>
                <c:pt idx="3">
                  <c:v>急救包</c:v>
                </c:pt>
              </c:strCache>
            </c:strRef>
          </c:cat>
          <c:val>
            <c:numRef>
              <c:f>分层采购价格基准!$C$14:$C$17</c:f>
              <c:numCache>
                <c:formatCode>#,##0.00;[Red]\(#,##0.00\);\-</c:formatCode>
                <c:ptCount val="4"/>
                <c:pt idx="0">
                  <c:v>820</c:v>
                </c:pt>
                <c:pt idx="1">
                  <c:v>63</c:v>
                </c:pt>
                <c:pt idx="2">
                  <c:v>73</c:v>
                </c:pt>
                <c:pt idx="3">
                  <c:v>175</c:v>
                </c:pt>
              </c:numCache>
            </c:numRef>
          </c:val>
        </c:ser>
        <c:ser>
          <c:idx val="2"/>
          <c:order val="2"/>
          <c:tx>
            <c:strRef>
              <c:f>"S1"</c:f>
              <c:strCache>
                <c:ptCount val="1"/>
                <c:pt idx="0">
                  <c:v>S1</c:v>
                </c:pt>
              </c:strCache>
            </c:strRef>
          </c:tx>
          <c:invertIfNegative val="0"/>
          <c:dLbls>
            <c:delete val="1"/>
          </c:dLbls>
          <c:cat>
            <c:strRef>
              <c:f>分层采购价格基准!$A$14:$A$17</c:f>
              <c:strCache>
                <c:ptCount val="4"/>
                <c:pt idx="0">
                  <c:v>帐篷</c:v>
                </c:pt>
                <c:pt idx="1">
                  <c:v>棉被</c:v>
                </c:pt>
                <c:pt idx="2">
                  <c:v>救生衣</c:v>
                </c:pt>
                <c:pt idx="3">
                  <c:v>急救包</c:v>
                </c:pt>
              </c:strCache>
            </c:strRef>
          </c:cat>
          <c:val>
            <c:numRef>
              <c:f>分层采购价格基准!$D$14:$D$17</c:f>
              <c:numCache>
                <c:formatCode>#,##0.00;[Red]\(#,##0.00\);\-</c:formatCode>
                <c:ptCount val="4"/>
                <c:pt idx="0">
                  <c:v>880</c:v>
                </c:pt>
                <c:pt idx="1">
                  <c:v>67</c:v>
                </c:pt>
                <c:pt idx="2">
                  <c:v>78</c:v>
                </c:pt>
                <c:pt idx="3">
                  <c:v>185</c:v>
                </c:pt>
              </c:numCache>
            </c:numRef>
          </c:val>
        </c:ser>
        <c:ser>
          <c:idx val="3"/>
          <c:order val="3"/>
          <c:tx>
            <c:strRef>
              <c:f>"S2"</c:f>
              <c:strCache>
                <c:ptCount val="1"/>
                <c:pt idx="0">
                  <c:v>S2</c:v>
                </c:pt>
              </c:strCache>
            </c:strRef>
          </c:tx>
          <c:invertIfNegative val="0"/>
          <c:dLbls>
            <c:delete val="1"/>
          </c:dLbls>
          <c:cat>
            <c:strRef>
              <c:f>分层采购价格基准!$A$14:$A$17</c:f>
              <c:strCache>
                <c:ptCount val="4"/>
                <c:pt idx="0">
                  <c:v>帐篷</c:v>
                </c:pt>
                <c:pt idx="1">
                  <c:v>棉被</c:v>
                </c:pt>
                <c:pt idx="2">
                  <c:v>救生衣</c:v>
                </c:pt>
                <c:pt idx="3">
                  <c:v>急救包</c:v>
                </c:pt>
              </c:strCache>
            </c:strRef>
          </c:cat>
          <c:val>
            <c:numRef>
              <c:f>分层采购价格基准!$E$14:$E$17</c:f>
              <c:numCache>
                <c:formatCode>#,##0.00;[Red]\(#,##0.00\);\-</c:formatCode>
                <c:ptCount val="4"/>
                <c:pt idx="0">
                  <c:v>835</c:v>
                </c:pt>
                <c:pt idx="1">
                  <c:v>64</c:v>
                </c:pt>
                <c:pt idx="2">
                  <c:v>74</c:v>
                </c:pt>
                <c:pt idx="3">
                  <c:v>178</c:v>
                </c:pt>
              </c:numCache>
            </c:numRef>
          </c:val>
        </c:ser>
        <c:ser>
          <c:idx val="4"/>
          <c:order val="4"/>
          <c:tx>
            <c:strRef>
              <c:f>"S3"</c:f>
              <c:strCache>
                <c:ptCount val="1"/>
                <c:pt idx="0">
                  <c:v>S3</c:v>
                </c:pt>
              </c:strCache>
            </c:strRef>
          </c:tx>
          <c:invertIfNegative val="0"/>
          <c:dLbls>
            <c:delete val="1"/>
          </c:dLbls>
          <c:cat>
            <c:strRef>
              <c:f>分层采购价格基准!$A$14:$A$17</c:f>
              <c:strCache>
                <c:ptCount val="4"/>
                <c:pt idx="0">
                  <c:v>帐篷</c:v>
                </c:pt>
                <c:pt idx="1">
                  <c:v>棉被</c:v>
                </c:pt>
                <c:pt idx="2">
                  <c:v>救生衣</c:v>
                </c:pt>
                <c:pt idx="3">
                  <c:v>急救包</c:v>
                </c:pt>
              </c:strCache>
            </c:strRef>
          </c:cat>
          <c:val>
            <c:numRef>
              <c:f>分层采购价格基准!$F$14:$F$17</c:f>
              <c:numCache>
                <c:formatCode>#,##0.00;[Red]\(#,##0.00\);\-</c:formatCode>
                <c:ptCount val="4"/>
                <c:pt idx="0">
                  <c:v>968</c:v>
                </c:pt>
                <c:pt idx="1">
                  <c:v>72</c:v>
                </c:pt>
                <c:pt idx="2">
                  <c:v>85</c:v>
                </c:pt>
                <c:pt idx="3">
                  <c:v>210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#,##0.00;[Red]\(#,##0.00\);\-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6ad7b24-98d5-45b7-85ee-63fac79b7625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17</xdr:row>
      <xdr:rowOff>102235</xdr:rowOff>
    </xdr:from>
    <xdr:to>
      <xdr:col>8</xdr:col>
      <xdr:colOff>991235</xdr:colOff>
      <xdr:row>28</xdr:row>
      <xdr:rowOff>102235</xdr:rowOff>
    </xdr:to>
    <xdr:graphicFrame>
      <xdr:nvGraphicFramePr>
        <xdr:cNvPr id="2" name="Chart"/>
        <xdr:cNvGraphicFramePr/>
      </xdr:nvGraphicFramePr>
      <xdr:xfrm>
        <a:off x="635" y="6312535"/>
        <a:ext cx="10058400" cy="363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2"/>
  <sheetViews>
    <sheetView tabSelected="1" zoomScale="70" zoomScaleNormal="70" workbookViewId="0">
      <selection activeCell="L20" sqref="L20"/>
    </sheetView>
  </sheetViews>
  <sheetFormatPr defaultColWidth="9" defaultRowHeight="14"/>
  <cols>
    <col min="1" max="1" width="16" customWidth="1"/>
    <col min="2" max="2" width="20" customWidth="1"/>
    <col min="3" max="7" width="13" customWidth="1"/>
    <col min="8" max="8" width="18" customWidth="1"/>
    <col min="9" max="10" width="17" customWidth="1"/>
    <col min="11" max="11" width="16" customWidth="1"/>
    <col min="12" max="12" width="28" customWidth="1"/>
    <col min="13" max="13" width="20" customWidth="1"/>
    <col min="14" max="14" width="34" customWidth="1"/>
  </cols>
  <sheetData>
    <row r="1" ht="34" customHeight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41" customHeight="1" spans="1:14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ht="26" customHeight="1" spans="1:14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</row>
    <row r="5" ht="26" customHeight="1" spans="1:14">
      <c r="A5" s="7" t="s">
        <v>16</v>
      </c>
      <c r="B5" s="7" t="s">
        <v>17</v>
      </c>
      <c r="C5" s="8">
        <v>850</v>
      </c>
      <c r="D5" s="8">
        <v>820</v>
      </c>
      <c r="E5" s="8">
        <v>880</v>
      </c>
      <c r="F5" s="8">
        <v>835</v>
      </c>
      <c r="G5" s="8">
        <v>968</v>
      </c>
      <c r="H5" s="7" t="s">
        <v>18</v>
      </c>
      <c r="I5" s="7" t="s">
        <v>19</v>
      </c>
      <c r="J5" s="7" t="s">
        <v>19</v>
      </c>
      <c r="K5" s="7" t="s">
        <v>20</v>
      </c>
      <c r="L5" s="7" t="s">
        <v>21</v>
      </c>
      <c r="M5" s="9">
        <v>0.05</v>
      </c>
      <c r="N5" s="9">
        <v>0.1</v>
      </c>
    </row>
    <row r="6" ht="26" customHeight="1" spans="1:14">
      <c r="A6" s="7" t="s">
        <v>22</v>
      </c>
      <c r="B6" s="7" t="s">
        <v>17</v>
      </c>
      <c r="C6" s="8">
        <v>65</v>
      </c>
      <c r="D6" s="8">
        <v>63</v>
      </c>
      <c r="E6" s="8">
        <v>67</v>
      </c>
      <c r="F6" s="8">
        <v>64</v>
      </c>
      <c r="G6" s="8">
        <v>72</v>
      </c>
      <c r="H6" s="7" t="s">
        <v>18</v>
      </c>
      <c r="I6" s="7" t="s">
        <v>19</v>
      </c>
      <c r="J6" s="7" t="s">
        <v>19</v>
      </c>
      <c r="K6" s="7" t="s">
        <v>20</v>
      </c>
      <c r="L6" s="7" t="s">
        <v>21</v>
      </c>
      <c r="M6" s="9">
        <v>0.05</v>
      </c>
      <c r="N6" s="9">
        <v>0.1</v>
      </c>
    </row>
    <row r="7" ht="26" customHeight="1" spans="1:14">
      <c r="A7" s="7" t="s">
        <v>23</v>
      </c>
      <c r="B7" s="7" t="s">
        <v>17</v>
      </c>
      <c r="C7" s="8">
        <v>75</v>
      </c>
      <c r="D7" s="8">
        <v>73</v>
      </c>
      <c r="E7" s="8">
        <v>78</v>
      </c>
      <c r="F7" s="8">
        <v>74</v>
      </c>
      <c r="G7" s="8">
        <v>85</v>
      </c>
      <c r="H7" s="7" t="s">
        <v>18</v>
      </c>
      <c r="I7" s="7" t="s">
        <v>19</v>
      </c>
      <c r="J7" s="7" t="s">
        <v>19</v>
      </c>
      <c r="K7" s="7" t="s">
        <v>20</v>
      </c>
      <c r="L7" s="7" t="s">
        <v>21</v>
      </c>
      <c r="M7" s="9">
        <v>0.05</v>
      </c>
      <c r="N7" s="9">
        <v>0.1</v>
      </c>
    </row>
    <row r="8" ht="26" customHeight="1" spans="1:14">
      <c r="A8" s="7" t="s">
        <v>24</v>
      </c>
      <c r="B8" s="7" t="s">
        <v>17</v>
      </c>
      <c r="C8" s="8">
        <v>180</v>
      </c>
      <c r="D8" s="8">
        <v>175</v>
      </c>
      <c r="E8" s="8">
        <v>185</v>
      </c>
      <c r="F8" s="8">
        <v>178</v>
      </c>
      <c r="G8" s="8">
        <v>210</v>
      </c>
      <c r="H8" s="7" t="s">
        <v>18</v>
      </c>
      <c r="I8" s="7" t="s">
        <v>19</v>
      </c>
      <c r="J8" s="7" t="s">
        <v>19</v>
      </c>
      <c r="K8" s="7" t="s">
        <v>20</v>
      </c>
      <c r="L8" s="7" t="s">
        <v>21</v>
      </c>
      <c r="M8" s="9">
        <v>0.05</v>
      </c>
      <c r="N8" s="9">
        <v>0.1</v>
      </c>
    </row>
    <row r="9" ht="26" customHeight="1" spans="1:14">
      <c r="A9" s="7" t="s">
        <v>25</v>
      </c>
      <c r="B9" s="7" t="s">
        <v>26</v>
      </c>
      <c r="C9" s="8">
        <v>24</v>
      </c>
      <c r="D9" s="8">
        <v>23</v>
      </c>
      <c r="E9" s="8"/>
      <c r="F9" s="8"/>
      <c r="G9" s="8"/>
      <c r="H9" s="7" t="s">
        <v>27</v>
      </c>
      <c r="I9" s="7" t="s">
        <v>28</v>
      </c>
      <c r="J9" s="7" t="s">
        <v>28</v>
      </c>
      <c r="K9" s="7" t="s">
        <v>29</v>
      </c>
      <c r="L9" s="7" t="s">
        <v>30</v>
      </c>
      <c r="M9" s="9">
        <v>0.05</v>
      </c>
      <c r="N9" s="9">
        <v>0.1</v>
      </c>
    </row>
    <row r="10" ht="26" customHeight="1" spans="1:14">
      <c r="A10" s="7" t="s">
        <v>31</v>
      </c>
      <c r="B10" s="7" t="s">
        <v>26</v>
      </c>
      <c r="C10" s="8">
        <v>80</v>
      </c>
      <c r="D10" s="8">
        <v>78</v>
      </c>
      <c r="E10" s="8"/>
      <c r="F10" s="8"/>
      <c r="G10" s="8"/>
      <c r="H10" s="7" t="s">
        <v>27</v>
      </c>
      <c r="I10" s="7" t="s">
        <v>28</v>
      </c>
      <c r="J10" s="7" t="s">
        <v>28</v>
      </c>
      <c r="K10" s="7" t="s">
        <v>29</v>
      </c>
      <c r="L10" s="7" t="s">
        <v>30</v>
      </c>
      <c r="M10" s="9">
        <v>0.05</v>
      </c>
      <c r="N10" s="9">
        <v>0.1</v>
      </c>
    </row>
    <row r="11" ht="26" customHeight="1" spans="1:1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6" customHeight="1" spans="1:14">
      <c r="A12" s="5" t="s">
        <v>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ht="26" customHeight="1" spans="1:14">
      <c r="A13" s="6" t="s">
        <v>2</v>
      </c>
      <c r="B13" s="6" t="s">
        <v>4</v>
      </c>
      <c r="C13" s="6" t="s">
        <v>5</v>
      </c>
      <c r="D13" s="6" t="s">
        <v>33</v>
      </c>
      <c r="E13" s="6" t="s">
        <v>34</v>
      </c>
      <c r="F13" s="6" t="s">
        <v>35</v>
      </c>
      <c r="G13" s="6" t="s">
        <v>36</v>
      </c>
      <c r="H13" s="6" t="s">
        <v>37</v>
      </c>
      <c r="I13" s="6" t="s">
        <v>38</v>
      </c>
      <c r="J13" s="6" t="s">
        <v>39</v>
      </c>
      <c r="K13" s="6" t="s">
        <v>40</v>
      </c>
      <c r="L13" s="6" t="s">
        <v>41</v>
      </c>
      <c r="M13" s="3"/>
    </row>
    <row r="14" ht="35" customHeight="1" spans="1:14">
      <c r="A14" s="10" t="s">
        <v>16</v>
      </c>
      <c r="B14" s="11">
        <f>C5</f>
        <v>850</v>
      </c>
      <c r="C14" s="11">
        <f>D5</f>
        <v>820</v>
      </c>
      <c r="D14" s="11">
        <f>E5</f>
        <v>880</v>
      </c>
      <c r="E14" s="11">
        <f>F5</f>
        <v>835</v>
      </c>
      <c r="F14" s="11">
        <f>G5</f>
        <v>968</v>
      </c>
      <c r="G14" s="12">
        <f>SUM(D14:F14)/3</f>
        <v>894.333333333333</v>
      </c>
      <c r="H14" s="12">
        <f>MEDIAN(D14:F14)</f>
        <v>880</v>
      </c>
      <c r="I14" s="12">
        <f>MIN(D14:F14)</f>
        <v>835</v>
      </c>
      <c r="J14" s="12">
        <f>MAX(D14:F14)</f>
        <v>968</v>
      </c>
      <c r="K14" s="13" t="str">
        <f>TEXT(I14,"0.00")&amp;"—"&amp;TEXT(J14,"0.00")</f>
        <v>835.00—968.00</v>
      </c>
      <c r="L14" s="12">
        <f>AVERAGE(B14:E14)</f>
        <v>846.25</v>
      </c>
      <c r="M14" s="3"/>
    </row>
    <row r="15" ht="35" customHeight="1" spans="1:14">
      <c r="A15" s="13" t="s">
        <v>22</v>
      </c>
      <c r="B15" s="11">
        <f>C6</f>
        <v>65</v>
      </c>
      <c r="C15" s="11">
        <f>D6</f>
        <v>63</v>
      </c>
      <c r="D15" s="11">
        <f>E6</f>
        <v>67</v>
      </c>
      <c r="E15" s="11">
        <f>F6</f>
        <v>64</v>
      </c>
      <c r="F15" s="11">
        <f>G6</f>
        <v>72</v>
      </c>
      <c r="G15" s="12">
        <f>SUM(D15:F15)/3</f>
        <v>67.6666666666667</v>
      </c>
      <c r="H15" s="12">
        <f>MEDIAN(D15:F15)</f>
        <v>67</v>
      </c>
      <c r="I15" s="12">
        <f>MIN(D15:F15)</f>
        <v>64</v>
      </c>
      <c r="J15" s="12">
        <f>MAX(D15:F15)</f>
        <v>72</v>
      </c>
      <c r="K15" s="13" t="str">
        <f>TEXT(I15,"0.00")&amp;"—"&amp;TEXT(J15,"0.00")</f>
        <v>64.00—72.00</v>
      </c>
      <c r="L15" s="12">
        <f>AVERAGE(B15:E15)</f>
        <v>64.75</v>
      </c>
      <c r="M15" s="3"/>
    </row>
    <row r="16" ht="35" customHeight="1" spans="1:14">
      <c r="A16" s="13" t="s">
        <v>23</v>
      </c>
      <c r="B16" s="11">
        <f>C7</f>
        <v>75</v>
      </c>
      <c r="C16" s="11">
        <f>D7</f>
        <v>73</v>
      </c>
      <c r="D16" s="11">
        <f>E7</f>
        <v>78</v>
      </c>
      <c r="E16" s="11">
        <f>F7</f>
        <v>74</v>
      </c>
      <c r="F16" s="11">
        <f>G7</f>
        <v>85</v>
      </c>
      <c r="G16" s="12">
        <f>SUM(D16:F16)/3</f>
        <v>79</v>
      </c>
      <c r="H16" s="12">
        <f>MEDIAN(D16:F16)</f>
        <v>78</v>
      </c>
      <c r="I16" s="12">
        <f>MIN(D16:F16)</f>
        <v>74</v>
      </c>
      <c r="J16" s="12">
        <f>MAX(D16:F16)</f>
        <v>85</v>
      </c>
      <c r="K16" s="13" t="str">
        <f>TEXT(I16,"0.00")&amp;"—"&amp;TEXT(J16,"0.00")</f>
        <v>74.00—85.00</v>
      </c>
      <c r="L16" s="12">
        <f>AVERAGE(B16:E16)</f>
        <v>75</v>
      </c>
      <c r="M16" s="3"/>
    </row>
    <row r="17" ht="35" customHeight="1" spans="1:14">
      <c r="A17" s="13" t="s">
        <v>24</v>
      </c>
      <c r="B17" s="11">
        <f>C8</f>
        <v>180</v>
      </c>
      <c r="C17" s="11">
        <f>D8</f>
        <v>175</v>
      </c>
      <c r="D17" s="11">
        <f>E8</f>
        <v>185</v>
      </c>
      <c r="E17" s="11">
        <f>F8</f>
        <v>178</v>
      </c>
      <c r="F17" s="11">
        <f>G8</f>
        <v>210</v>
      </c>
      <c r="G17" s="12">
        <f>SUM(D17:F17)/3</f>
        <v>191</v>
      </c>
      <c r="H17" s="12">
        <f>MEDIAN(D17:F17)</f>
        <v>185</v>
      </c>
      <c r="I17" s="12">
        <f>MIN(D17:F17)</f>
        <v>178</v>
      </c>
      <c r="J17" s="12">
        <f>MAX(D17:F17)</f>
        <v>210</v>
      </c>
      <c r="K17" s="13" t="str">
        <f>TEXT(I17,"0.00")&amp;"—"&amp;TEXT(J17,"0.00")</f>
        <v>178.00—210.00</v>
      </c>
      <c r="L17" s="12">
        <f>AVERAGE(B17:E17)</f>
        <v>179.5</v>
      </c>
      <c r="M17" s="3"/>
    </row>
    <row r="18" ht="26" customHeight="1" spans="1:1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26" customHeight="1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ht="26" customHeight="1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ht="26" customHeight="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26" customHeight="1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26" customHeight="1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ht="26" customHeight="1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26" customHeight="1" spans="1:1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ht="26" customHeight="1" spans="1:1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ht="26" customHeight="1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ht="26" customHeight="1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ht="26" customHeight="1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ht="26" customHeight="1" spans="1:14">
      <c r="A30" s="14" t="s">
        <v>42</v>
      </c>
      <c r="B30" s="14"/>
      <c r="C30" s="14"/>
      <c r="D30" s="14"/>
      <c r="E30" s="14"/>
      <c r="F30" s="14"/>
      <c r="G30" s="14"/>
      <c r="H30" s="14"/>
      <c r="I30" s="14"/>
      <c r="J30" s="3"/>
      <c r="K30" s="3"/>
      <c r="L30" s="3"/>
      <c r="M30" s="3"/>
      <c r="N30" s="3"/>
    </row>
    <row r="31" ht="35" customHeight="1" spans="1:14">
      <c r="A31" s="6" t="s">
        <v>2</v>
      </c>
      <c r="B31" s="6" t="s">
        <v>4</v>
      </c>
      <c r="C31" s="6" t="s">
        <v>5</v>
      </c>
      <c r="D31" s="6" t="s">
        <v>43</v>
      </c>
      <c r="E31" s="6" t="s">
        <v>44</v>
      </c>
      <c r="F31" s="6" t="s">
        <v>45</v>
      </c>
      <c r="G31" s="6" t="s">
        <v>46</v>
      </c>
      <c r="H31" s="6" t="s">
        <v>47</v>
      </c>
      <c r="I31" s="6" t="s">
        <v>48</v>
      </c>
      <c r="J31" s="3"/>
      <c r="K31" s="3"/>
      <c r="L31" s="3"/>
      <c r="M31" s="3"/>
      <c r="N31" s="3"/>
    </row>
    <row r="32" ht="38" customHeight="1" spans="1:14">
      <c r="A32" s="13" t="s">
        <v>25</v>
      </c>
      <c r="B32" s="11">
        <f>C9</f>
        <v>24</v>
      </c>
      <c r="C32" s="11">
        <f>D9</f>
        <v>23</v>
      </c>
      <c r="D32" s="11">
        <v>23.5</v>
      </c>
      <c r="E32" s="15">
        <f>(D32-B32)/B32</f>
        <v>-0.0208333333333333</v>
      </c>
      <c r="F32" s="15">
        <f>(D32-C32)/C32</f>
        <v>0.0217391304347826</v>
      </c>
      <c r="G32" s="13" t="s">
        <v>49</v>
      </c>
      <c r="H32" s="13" t="s">
        <v>50</v>
      </c>
      <c r="I32" s="13" t="s">
        <v>51</v>
      </c>
      <c r="J32" s="3"/>
      <c r="K32" s="16"/>
      <c r="L32" s="3"/>
      <c r="M32" s="3"/>
      <c r="N32" s="3"/>
    </row>
    <row r="33" ht="38" customHeight="1" spans="1:14">
      <c r="A33" s="13" t="s">
        <v>31</v>
      </c>
      <c r="B33" s="11">
        <f>C10</f>
        <v>80</v>
      </c>
      <c r="C33" s="11">
        <f>D10</f>
        <v>78</v>
      </c>
      <c r="D33" s="11">
        <v>79</v>
      </c>
      <c r="E33" s="15">
        <f>(D33-B33)/B33</f>
        <v>-0.0125</v>
      </c>
      <c r="F33" s="15">
        <f>(D33-C33)/C33</f>
        <v>0.0128205128205128</v>
      </c>
      <c r="G33" s="13" t="s">
        <v>49</v>
      </c>
      <c r="H33" s="13" t="s">
        <v>50</v>
      </c>
      <c r="I33" s="13" t="s">
        <v>51</v>
      </c>
      <c r="J33" s="3"/>
      <c r="K33" s="3"/>
      <c r="L33" s="3"/>
      <c r="M33" s="3"/>
      <c r="N33" s="3"/>
    </row>
    <row r="34" ht="26" customHeight="1" spans="1:1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ht="26" customHeight="1" spans="1:14">
      <c r="A35" s="5" t="s">
        <v>52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ht="34" customHeight="1" spans="1:14">
      <c r="A36" s="6" t="s">
        <v>2</v>
      </c>
      <c r="B36" s="6" t="s">
        <v>53</v>
      </c>
      <c r="C36" s="6" t="s">
        <v>6</v>
      </c>
      <c r="D36" s="6" t="s">
        <v>54</v>
      </c>
      <c r="E36" s="6" t="s">
        <v>55</v>
      </c>
      <c r="F36" s="6" t="s">
        <v>7</v>
      </c>
      <c r="G36" s="6" t="s">
        <v>56</v>
      </c>
      <c r="H36" s="6" t="s">
        <v>57</v>
      </c>
      <c r="I36" s="6" t="s">
        <v>8</v>
      </c>
      <c r="J36" s="6" t="s">
        <v>58</v>
      </c>
      <c r="K36" s="6" t="s">
        <v>59</v>
      </c>
      <c r="L36" s="6" t="s">
        <v>60</v>
      </c>
      <c r="M36" s="6" t="s">
        <v>61</v>
      </c>
      <c r="N36" s="6" t="s">
        <v>62</v>
      </c>
    </row>
    <row r="37" ht="34" customHeight="1" spans="1:14">
      <c r="A37" s="13" t="s">
        <v>16</v>
      </c>
      <c r="B37" s="11">
        <f>L14</f>
        <v>846.25</v>
      </c>
      <c r="C37" s="11">
        <f>D14</f>
        <v>880</v>
      </c>
      <c r="D37" s="15">
        <f>(C37-B37)/B37</f>
        <v>0.0398818316100443</v>
      </c>
      <c r="E37" s="17" t="s">
        <v>63</v>
      </c>
      <c r="F37" s="11">
        <f>E14</f>
        <v>835</v>
      </c>
      <c r="G37" s="15">
        <f>(F37-B37)/B37</f>
        <v>-0.0132939438700148</v>
      </c>
      <c r="H37" s="17" t="s">
        <v>63</v>
      </c>
      <c r="I37" s="11">
        <f>F14</f>
        <v>968</v>
      </c>
      <c r="J37" s="15">
        <f>(I37-B37)/B37</f>
        <v>0.143870014771049</v>
      </c>
      <c r="K37" s="18" t="str">
        <f>IF(J37&gt;=$M$5,IF(J37&gt;=$N$5,"红色预警","黄色预警"),"正常")</f>
        <v>红色预警</v>
      </c>
      <c r="L37" s="19">
        <f>$M$5</f>
        <v>0.05</v>
      </c>
      <c r="M37" s="19">
        <f>$N$5</f>
        <v>0.1</v>
      </c>
      <c r="N37" s="13" t="str">
        <f>IF(K37="红色预警","S3启动重点复核；报价有效但经济性较弱，列为高价备选","按常规比价流程")</f>
        <v>S3启动重点复核；报价有效但经济性较弱，列为高价备选</v>
      </c>
    </row>
    <row r="38" ht="34" customHeight="1" spans="1:14">
      <c r="A38" s="13" t="s">
        <v>22</v>
      </c>
      <c r="B38" s="11">
        <f>L15</f>
        <v>64.75</v>
      </c>
      <c r="C38" s="11">
        <f>D15</f>
        <v>67</v>
      </c>
      <c r="D38" s="15">
        <f>(C38-B38)/B38</f>
        <v>0.0347490347490347</v>
      </c>
      <c r="E38" s="17" t="s">
        <v>63</v>
      </c>
      <c r="F38" s="11">
        <f>E15</f>
        <v>64</v>
      </c>
      <c r="G38" s="15">
        <f>(F38-B38)/B38</f>
        <v>-0.0115830115830116</v>
      </c>
      <c r="H38" s="17" t="s">
        <v>63</v>
      </c>
      <c r="I38" s="11">
        <f>F15</f>
        <v>72</v>
      </c>
      <c r="J38" s="15">
        <f>(I38-B38)/B38</f>
        <v>0.111969111969112</v>
      </c>
      <c r="K38" s="13" t="str">
        <f>IF(J38&gt;=$M$5,IF(J38&gt;=$N$5,"红色预警","黄色预警"),"正常")</f>
        <v>红色预警</v>
      </c>
      <c r="L38" s="19">
        <f>$M$5</f>
        <v>0.05</v>
      </c>
      <c r="M38" s="19">
        <f>$N$5</f>
        <v>0.1</v>
      </c>
      <c r="N38" s="13" t="str">
        <f>IF(K38="红色预警","S3启动重点复核；报价有效但经济性较弱，列为高价备选","按常规比价流程")</f>
        <v>S3启动重点复核；报价有效但经济性较弱，列为高价备选</v>
      </c>
    </row>
    <row r="39" ht="34" customHeight="1" spans="1:14">
      <c r="A39" s="13" t="s">
        <v>23</v>
      </c>
      <c r="B39" s="11">
        <f>L16</f>
        <v>75</v>
      </c>
      <c r="C39" s="11">
        <f>D16</f>
        <v>78</v>
      </c>
      <c r="D39" s="15">
        <f>(C39-B39)/B39</f>
        <v>0.04</v>
      </c>
      <c r="E39" s="17" t="s">
        <v>63</v>
      </c>
      <c r="F39" s="11">
        <f>E16</f>
        <v>74</v>
      </c>
      <c r="G39" s="15">
        <f>(F39-B39)/B39</f>
        <v>-0.0133333333333333</v>
      </c>
      <c r="H39" s="17" t="s">
        <v>63</v>
      </c>
      <c r="I39" s="11">
        <f>F16</f>
        <v>85</v>
      </c>
      <c r="J39" s="15">
        <f>(I39-B39)/B39</f>
        <v>0.133333333333333</v>
      </c>
      <c r="K39" s="13" t="str">
        <f>IF(J39&gt;=$M$5,IF(J39&gt;=$N$5,"红色预警","黄色预警"),"正常")</f>
        <v>红色预警</v>
      </c>
      <c r="L39" s="19">
        <f>$M$5</f>
        <v>0.05</v>
      </c>
      <c r="M39" s="19">
        <f>$N$5</f>
        <v>0.1</v>
      </c>
      <c r="N39" s="13" t="str">
        <f>IF(K39="红色预警","S3启动重点复核；报价有效但经济性较弱，列为高价备选","按常规比价流程")</f>
        <v>S3启动重点复核；报价有效但经济性较弱，列为高价备选</v>
      </c>
    </row>
    <row r="40" ht="34" customHeight="1" spans="1:14">
      <c r="A40" s="13" t="s">
        <v>24</v>
      </c>
      <c r="B40" s="11">
        <f>L17</f>
        <v>179.5</v>
      </c>
      <c r="C40" s="11">
        <f>D17</f>
        <v>185</v>
      </c>
      <c r="D40" s="15">
        <f>(C40-B40)/B40</f>
        <v>0.0306406685236769</v>
      </c>
      <c r="E40" s="17" t="s">
        <v>63</v>
      </c>
      <c r="F40" s="11">
        <f>E17</f>
        <v>178</v>
      </c>
      <c r="G40" s="15">
        <f>(F40-B40)/B40</f>
        <v>-0.00835654596100279</v>
      </c>
      <c r="H40" s="17" t="s">
        <v>63</v>
      </c>
      <c r="I40" s="11">
        <f>F17</f>
        <v>210</v>
      </c>
      <c r="J40" s="15">
        <f>(I40-B40)/B40</f>
        <v>0.16991643454039</v>
      </c>
      <c r="K40" s="13" t="str">
        <f>IF(J40&gt;=$M$5,IF(J40&gt;=$N$5,"红色预警","黄色预警"),"正常")</f>
        <v>红色预警</v>
      </c>
      <c r="L40" s="19">
        <f>$M$5</f>
        <v>0.05</v>
      </c>
      <c r="M40" s="19">
        <f>$N$5</f>
        <v>0.1</v>
      </c>
      <c r="N40" s="13" t="str">
        <f>IF(K40="红色预警","S3启动重点复核；报价有效但经济性较弱，列为高价备选","按常规比价流程")</f>
        <v>S3启动重点复核；报价有效但经济性较弱，列为高价备选</v>
      </c>
    </row>
    <row r="41" ht="26" customHeight="1" spans="1:1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ht="26" customHeight="1" spans="1:14">
      <c r="A42" s="5" t="s">
        <v>64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ht="40" customHeight="1" spans="1:14">
      <c r="A43" s="6" t="s">
        <v>2</v>
      </c>
      <c r="B43" s="6" t="s">
        <v>65</v>
      </c>
      <c r="C43" s="6" t="s">
        <v>66</v>
      </c>
      <c r="D43" s="6" t="s">
        <v>67</v>
      </c>
      <c r="E43" s="6" t="s">
        <v>68</v>
      </c>
      <c r="F43" s="6" t="s">
        <v>69</v>
      </c>
      <c r="G43" s="6" t="s">
        <v>70</v>
      </c>
      <c r="H43" s="6" t="s">
        <v>33</v>
      </c>
      <c r="I43" s="6" t="s">
        <v>34</v>
      </c>
      <c r="J43" s="6" t="s">
        <v>35</v>
      </c>
      <c r="K43" s="6" t="s">
        <v>71</v>
      </c>
      <c r="L43" s="6" t="s">
        <v>72</v>
      </c>
      <c r="M43" s="6" t="s">
        <v>73</v>
      </c>
      <c r="N43" s="6" t="s">
        <v>74</v>
      </c>
    </row>
    <row r="44" ht="31" customHeight="1" spans="1:14">
      <c r="A44" s="13" t="s">
        <v>16</v>
      </c>
      <c r="B44" s="13" t="s">
        <v>17</v>
      </c>
      <c r="C44" s="13" t="s">
        <v>75</v>
      </c>
      <c r="D44" s="13" t="s">
        <v>18</v>
      </c>
      <c r="E44" s="13" t="s">
        <v>75</v>
      </c>
      <c r="F44" s="13" t="s">
        <v>75</v>
      </c>
      <c r="G44" s="13" t="s">
        <v>76</v>
      </c>
      <c r="H44" s="13" t="s">
        <v>77</v>
      </c>
      <c r="I44" s="13" t="s">
        <v>77</v>
      </c>
      <c r="J44" s="13" t="s">
        <v>77</v>
      </c>
      <c r="K44" s="13" t="s">
        <v>78</v>
      </c>
      <c r="L44" s="13" t="s">
        <v>78</v>
      </c>
      <c r="M44" s="20" t="s">
        <v>79</v>
      </c>
      <c r="N44" s="13" t="s">
        <v>80</v>
      </c>
    </row>
    <row r="45" ht="31" customHeight="1" spans="1:14">
      <c r="A45" s="13" t="s">
        <v>22</v>
      </c>
      <c r="B45" s="13" t="s">
        <v>17</v>
      </c>
      <c r="C45" s="13" t="s">
        <v>75</v>
      </c>
      <c r="D45" s="13" t="s">
        <v>18</v>
      </c>
      <c r="E45" s="13" t="s">
        <v>75</v>
      </c>
      <c r="F45" s="13" t="s">
        <v>75</v>
      </c>
      <c r="G45" s="13" t="s">
        <v>76</v>
      </c>
      <c r="H45" s="13" t="s">
        <v>77</v>
      </c>
      <c r="I45" s="13" t="s">
        <v>77</v>
      </c>
      <c r="J45" s="13" t="s">
        <v>77</v>
      </c>
      <c r="K45" s="13" t="s">
        <v>78</v>
      </c>
      <c r="L45" s="13" t="s">
        <v>78</v>
      </c>
      <c r="M45" s="20" t="s">
        <v>79</v>
      </c>
      <c r="N45" s="13" t="s">
        <v>80</v>
      </c>
    </row>
    <row r="46" ht="31" customHeight="1" spans="1:14">
      <c r="A46" s="13" t="s">
        <v>23</v>
      </c>
      <c r="B46" s="13" t="s">
        <v>17</v>
      </c>
      <c r="C46" s="13" t="s">
        <v>75</v>
      </c>
      <c r="D46" s="13" t="s">
        <v>18</v>
      </c>
      <c r="E46" s="13" t="s">
        <v>75</v>
      </c>
      <c r="F46" s="13" t="s">
        <v>75</v>
      </c>
      <c r="G46" s="13" t="s">
        <v>76</v>
      </c>
      <c r="H46" s="13" t="s">
        <v>77</v>
      </c>
      <c r="I46" s="13" t="s">
        <v>77</v>
      </c>
      <c r="J46" s="13" t="s">
        <v>77</v>
      </c>
      <c r="K46" s="13" t="s">
        <v>78</v>
      </c>
      <c r="L46" s="13" t="s">
        <v>78</v>
      </c>
      <c r="M46" s="20" t="s">
        <v>79</v>
      </c>
      <c r="N46" s="13" t="s">
        <v>80</v>
      </c>
    </row>
    <row r="47" ht="31" customHeight="1" spans="1:14">
      <c r="A47" s="13" t="s">
        <v>24</v>
      </c>
      <c r="B47" s="13" t="s">
        <v>17</v>
      </c>
      <c r="C47" s="13" t="s">
        <v>75</v>
      </c>
      <c r="D47" s="13" t="s">
        <v>18</v>
      </c>
      <c r="E47" s="13" t="s">
        <v>75</v>
      </c>
      <c r="F47" s="13" t="s">
        <v>75</v>
      </c>
      <c r="G47" s="13" t="s">
        <v>76</v>
      </c>
      <c r="H47" s="13" t="s">
        <v>77</v>
      </c>
      <c r="I47" s="13" t="s">
        <v>77</v>
      </c>
      <c r="J47" s="13" t="s">
        <v>77</v>
      </c>
      <c r="K47" s="13" t="s">
        <v>78</v>
      </c>
      <c r="L47" s="13" t="s">
        <v>78</v>
      </c>
      <c r="M47" s="20" t="s">
        <v>79</v>
      </c>
      <c r="N47" s="13" t="s">
        <v>80</v>
      </c>
    </row>
    <row r="48" ht="31" customHeight="1" spans="1:14">
      <c r="A48" s="13" t="s">
        <v>25</v>
      </c>
      <c r="B48" s="13" t="s">
        <v>81</v>
      </c>
      <c r="C48" s="13" t="s">
        <v>75</v>
      </c>
      <c r="D48" s="13" t="s">
        <v>27</v>
      </c>
      <c r="E48" s="13" t="s">
        <v>82</v>
      </c>
      <c r="F48" s="13" t="s">
        <v>82</v>
      </c>
      <c r="G48" s="13" t="s">
        <v>83</v>
      </c>
      <c r="H48" s="13" t="s">
        <v>84</v>
      </c>
      <c r="I48" s="13" t="s">
        <v>84</v>
      </c>
      <c r="J48" s="13" t="s">
        <v>84</v>
      </c>
      <c r="K48" s="13" t="s">
        <v>78</v>
      </c>
      <c r="L48" s="13" t="s">
        <v>78</v>
      </c>
      <c r="M48" s="20" t="s">
        <v>79</v>
      </c>
      <c r="N48" s="13" t="s">
        <v>85</v>
      </c>
    </row>
    <row r="49" ht="31" customHeight="1" spans="1:14">
      <c r="A49" s="13" t="s">
        <v>31</v>
      </c>
      <c r="B49" s="13" t="s">
        <v>81</v>
      </c>
      <c r="C49" s="13" t="s">
        <v>75</v>
      </c>
      <c r="D49" s="13" t="s">
        <v>27</v>
      </c>
      <c r="E49" s="13" t="s">
        <v>82</v>
      </c>
      <c r="F49" s="13" t="s">
        <v>82</v>
      </c>
      <c r="G49" s="13" t="s">
        <v>83</v>
      </c>
      <c r="H49" s="13" t="s">
        <v>84</v>
      </c>
      <c r="I49" s="13" t="s">
        <v>84</v>
      </c>
      <c r="J49" s="13" t="s">
        <v>84</v>
      </c>
      <c r="K49" s="13" t="s">
        <v>78</v>
      </c>
      <c r="L49" s="13" t="s">
        <v>78</v>
      </c>
      <c r="M49" s="20" t="s">
        <v>79</v>
      </c>
      <c r="N49" s="13" t="s">
        <v>85</v>
      </c>
    </row>
    <row r="50" ht="26" customHeight="1" spans="1:1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ht="26" customHeight="1"/>
    <row r="52" ht="26" customHeight="1"/>
    <row r="53" ht="39" customHeight="1"/>
    <row r="54" ht="39" customHeight="1"/>
    <row r="55" ht="39" customHeight="1"/>
    <row r="56" ht="39" customHeight="1"/>
    <row r="57" ht="39" customHeight="1"/>
    <row r="58" ht="39" customHeight="1"/>
    <row r="59" ht="26" customHeight="1" spans="1:1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ht="34" customHeight="1"/>
    <row r="61" ht="34" customHeight="1"/>
    <row r="62" ht="34" customHeight="1"/>
  </sheetData>
  <mergeCells count="6">
    <mergeCell ref="A1:N1"/>
    <mergeCell ref="A3:N3"/>
    <mergeCell ref="A12:N12"/>
    <mergeCell ref="A30:I30"/>
    <mergeCell ref="A35:N35"/>
    <mergeCell ref="A42:N42"/>
  </mergeCells>
  <conditionalFormatting sqref="K37:K40">
    <cfRule type="expression" dxfId="0" priority="10">
      <formula>K37="红色预警"</formula>
    </cfRule>
    <cfRule type="expression" dxfId="1" priority="11">
      <formula>K37="黄色预警"</formula>
    </cfRule>
    <cfRule type="expression" dxfId="2" priority="12">
      <formula>K37="正常"</formula>
    </cfRule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分层采购价格基准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惊浪</cp:lastModifiedBy>
  <dcterms:created xsi:type="dcterms:W3CDTF">2026-08-14T13:26:49Z</dcterms:created>
  <dcterms:modified xsi:type="dcterms:W3CDTF">2026-08-14T14:22:57Z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E3A340BF52B64291B60003F000FD1F70_13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